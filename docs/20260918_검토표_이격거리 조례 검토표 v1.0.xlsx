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NPKI\KCH\AI\KCH_9팀\나만의 AI Agent 개발\부지판정자동화\docs\"/>
    </mc:Choice>
  </mc:AlternateContent>
  <xr:revisionPtr revIDLastSave="0" documentId="13_ncr:1_{5C397CDB-4EF9-4FC7-A902-47F60D0F02C3}" xr6:coauthVersionLast="47" xr6:coauthVersionMax="47" xr10:uidLastSave="{00000000-0000-0000-0000-000000000000}"/>
  <bookViews>
    <workbookView xWindow="-108" yWindow="-108" windowWidth="23256" windowHeight="12456" activeTab="1" xr2:uid="{00000000-000D-0000-FFFF-FFFF00000000}"/>
  </bookViews>
  <sheets>
    <sheet name="안내" sheetId="1" r:id="rId1"/>
    <sheet name="검토표" sheetId="2" r:id="rId2"/>
    <sheet name="시군별 현황" sheetId="3" r:id="rId3"/>
    <sheet name="직접 확인 필요" sheetId="4" r:id="rId4"/>
  </sheets>
  <definedNames>
    <definedName name="_xlnm._FilterDatabase" localSheetId="1" hidden="1">검토표!$A$3:$T$159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3" l="1"/>
  <c r="D26" i="3"/>
  <c r="C26" i="3"/>
  <c r="F26" i="3" s="1"/>
  <c r="E25" i="3"/>
  <c r="D25" i="3"/>
  <c r="C25" i="3"/>
  <c r="F25" i="3" s="1"/>
  <c r="E24" i="3"/>
  <c r="D24" i="3"/>
  <c r="C24" i="3"/>
  <c r="E23" i="3"/>
  <c r="D23" i="3"/>
  <c r="C23" i="3"/>
  <c r="E22" i="3"/>
  <c r="D22" i="3"/>
  <c r="C22" i="3"/>
  <c r="F22" i="3" s="1"/>
  <c r="E21" i="3"/>
  <c r="D21" i="3"/>
  <c r="C21" i="3"/>
  <c r="F21" i="3" s="1"/>
  <c r="E20" i="3"/>
  <c r="D20" i="3"/>
  <c r="C20" i="3"/>
  <c r="F20" i="3" s="1"/>
  <c r="E19" i="3"/>
  <c r="D19" i="3"/>
  <c r="C19" i="3"/>
  <c r="F19" i="3" s="1"/>
  <c r="E18" i="3"/>
  <c r="D18" i="3"/>
  <c r="C18" i="3"/>
  <c r="F18" i="3" s="1"/>
  <c r="E17" i="3"/>
  <c r="D17" i="3"/>
  <c r="C17" i="3"/>
  <c r="F17" i="3" s="1"/>
  <c r="E16" i="3"/>
  <c r="D16" i="3"/>
  <c r="C16" i="3"/>
  <c r="F16" i="3" s="1"/>
  <c r="E15" i="3"/>
  <c r="D15" i="3"/>
  <c r="C15" i="3"/>
  <c r="F15" i="3" s="1"/>
  <c r="E14" i="3"/>
  <c r="D14" i="3"/>
  <c r="C14" i="3"/>
  <c r="F14" i="3" s="1"/>
  <c r="E13" i="3"/>
  <c r="D13" i="3"/>
  <c r="C13" i="3"/>
  <c r="F13" i="3" s="1"/>
  <c r="E12" i="3"/>
  <c r="D12" i="3"/>
  <c r="C12" i="3"/>
  <c r="F12" i="3" s="1"/>
  <c r="E11" i="3"/>
  <c r="D11" i="3"/>
  <c r="C11" i="3"/>
  <c r="F11" i="3" s="1"/>
  <c r="E10" i="3"/>
  <c r="D10" i="3"/>
  <c r="C10" i="3"/>
  <c r="F10" i="3" s="1"/>
  <c r="E9" i="3"/>
  <c r="D9" i="3"/>
  <c r="C9" i="3"/>
  <c r="F9" i="3" s="1"/>
  <c r="E8" i="3"/>
  <c r="D8" i="3"/>
  <c r="C8" i="3"/>
  <c r="F8" i="3" s="1"/>
  <c r="E7" i="3"/>
  <c r="D7" i="3"/>
  <c r="C7" i="3"/>
  <c r="F7" i="3" s="1"/>
  <c r="E6" i="3"/>
  <c r="D6" i="3"/>
  <c r="C6" i="3"/>
  <c r="F6" i="3" s="1"/>
  <c r="E5" i="3"/>
  <c r="D5" i="3"/>
  <c r="C5" i="3"/>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F23" i="3" l="1"/>
  <c r="F24" i="3"/>
  <c r="E27" i="3"/>
  <c r="C27" i="3"/>
  <c r="D27" i="3"/>
  <c r="F5" i="3"/>
  <c r="F2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검토표</author>
  </authors>
  <commentList>
    <comment ref="F3" authorId="0" shapeId="0" xr:uid="{00000000-0006-0000-0100-000001000000}">
      <text>
        <r>
          <rPr>
            <sz val="11"/>
            <color theme="1"/>
            <rFont val="맑은 고딕"/>
            <family val="2"/>
            <scheme val="minor"/>
          </rPr>
          <t>조례 원문에서 기계로 추출한 값입니다. '로부터/에서/경계' 뒤의 거리를 우선 잡고, 없으면 한 줄에서 가장 큰 값을 잡습니다. 틀릴 수 있으니 K열 원문과 대조하세요.</t>
        </r>
      </text>
    </comment>
    <comment ref="T3" authorId="0" shapeId="0" xr:uid="{00000000-0006-0000-0100-000002000000}">
      <text>
        <r>
          <rPr>
            <sz val="11"/>
            <color theme="1"/>
            <rFont val="맑은 고딕"/>
            <family val="2"/>
            <scheme val="minor"/>
          </rPr>
          <t>확정 거리(M열)를 입력하면 후보(F열)와 같은지 자동으로 표시합니다.</t>
        </r>
      </text>
    </comment>
  </commentList>
</comments>
</file>

<file path=xl/sharedStrings.xml><?xml version="1.0" encoding="utf-8"?>
<sst xmlns="http://schemas.openxmlformats.org/spreadsheetml/2006/main" count="1445" uniqueCount="269">
  <si>
    <t>이격거리 조례 검토표</t>
  </si>
  <si>
    <t>노란 칸(M~S열)만 입력합니다 · 주황색 행은 후보값이 틀렸을 가능성이 높아 원문을 꼭 확인하세요 · 검토자가 비어 있는 행은 판정에 쓰이지 않습니다</t>
  </si>
  <si>
    <t>번호</t>
  </si>
  <si>
    <t>시군구</t>
  </si>
  <si>
    <t>시군구코드</t>
  </si>
  <si>
    <t>사업유형</t>
  </si>
  <si>
    <t>대상</t>
  </si>
  <si>
    <t>추출 거리(m)
[후보]</t>
  </si>
  <si>
    <t>추출 호수
[후보]</t>
  </si>
  <si>
    <t>확인 필요</t>
  </si>
  <si>
    <t>조례명</t>
  </si>
  <si>
    <t>조문</t>
  </si>
  <si>
    <t>원문 (해당 호)</t>
  </si>
  <si>
    <t>조례 전문</t>
  </si>
  <si>
    <t>확정 거리(m)</t>
  </si>
  <si>
    <t>확정 호수</t>
  </si>
  <si>
    <t>고시일</t>
  </si>
  <si>
    <t>판정 반영
(Y/N)</t>
  </si>
  <si>
    <t>검토자</t>
  </si>
  <si>
    <t>검토일</t>
  </si>
  <si>
    <t>검토 메모</t>
  </si>
  <si>
    <t>후보와
비교</t>
  </si>
  <si>
    <t>목포시</t>
  </si>
  <si>
    <t>12110</t>
  </si>
  <si>
    <t>태양광</t>
  </si>
  <si>
    <t>관광지</t>
  </si>
  <si>
    <t>목포시 도시계획 조례</t>
  </si>
  <si>
    <t>제17조의4</t>
  </si>
  <si>
    <t>5. 「관광진흥법」에 따른 관광지 및 관광단지 경계로부터 100미터 안에 입지하지 아니할 것.</t>
  </si>
  <si>
    <t>열기</t>
  </si>
  <si>
    <t>도로</t>
  </si>
  <si>
    <t>한 줄에 거리 여러 개</t>
  </si>
  <si>
    <t>1. 「도로법」이 적용되는 도로(국도, 지방도, 시도 등 2차선 또는 폭 6미터 이상의 포장도로) 경계로부터 100미터 안에 입지하지 아니할 것. &lt;개정 2018.12.17., 2020.8.10.&gt;</t>
  </si>
  <si>
    <t>문화유산</t>
  </si>
  <si>
    <t>6. 「문화유산보존 및 활용에 관한 법률」의 적용을 받는 문화유산 부지 경계로부터 100미터 안에 입지하지 아니할 것.</t>
  </si>
  <si>
    <t>자연취락지구</t>
  </si>
  <si>
    <t>3. 자연취락지구 경계로부터 100미터 안에 입지하지 아니할 것.</t>
  </si>
  <si>
    <t>주거밀집지역</t>
  </si>
  <si>
    <t>2. 주거밀집지역(10호 이상의 실제 주민이 거주하는 인가가 밀집된 지역) 경계로부터 100미터 안에 입지하지 아니할 것.</t>
  </si>
  <si>
    <t>여수시</t>
  </si>
  <si>
    <t>12130</t>
  </si>
  <si>
    <t>풍력</t>
  </si>
  <si>
    <t>가축사육시설</t>
  </si>
  <si>
    <t>여수시 도시계획 조례</t>
  </si>
  <si>
    <t>제12조의2</t>
  </si>
  <si>
    <t>라.「축산법」에 따른 가축 사육시설 및 육상 축양장 등 생산시설 부지경계에서 1,500미터 이내에 입지하지 아니할 것</t>
  </si>
  <si>
    <t>가. 도로 및 철도 부지경계에서 직선거리 300미터 이내에 입지하지 아니할 것</t>
  </si>
  <si>
    <t>가. 도로 및 철도, 하천, 저수지 부지경계에서 직선거리 200미터 이내에 입지하지 아니할 것</t>
  </si>
  <si>
    <t>가. 도로 및 철도, 하천, 저수지 부지경계에서 직선거리 100미터 이내에 입지하지 아니할 것</t>
  </si>
  <si>
    <t>정온시설</t>
  </si>
  <si>
    <t>나. 정온시설(초·중·고등학교, 대학교, 도서관, 노인요양시설, 유치원, 병원, 경로당 등 기타 유사한 시설로서 시장이 인정한 경우) 부지경계에서 1,500미터 이내에 입지하지 아니할 것</t>
  </si>
  <si>
    <t>한 줄에 거리 여러 개 / 다만·예외·동의 단서</t>
  </si>
  <si>
    <t>나. 주거밀집지역(10호 이상의 실제 주민이 거주하는 인가가 밀집된 지역을 말하며, 주택과 주택사이의 직선거리가 50미터 이내로 연결되는 호수를 합산) 주택 부지 경계에서 직선거리 2,000미터 이내에 입지하지 아니할 것. (10호 미만 주거밀집지역은 주택부지 경계에서 직선거리 1,000미터 이내에 입지하지 아니할 것.) 단, 해당 지역에 거주하는 주민등록상 세대주의 90% 이상 동의를 얻은 경우 허용할 수 있다.</t>
  </si>
  <si>
    <t>주택</t>
  </si>
  <si>
    <t>다. 주민이 실제 거주하는 주택 부지경계에서 1,500미터 이내에 입지하지 아니할 것</t>
  </si>
  <si>
    <t>나. 주민이 실제 거주하는 주택 부지경계에서 500미터 이내에 입지하지 아니할 것</t>
  </si>
  <si>
    <t>철도</t>
  </si>
  <si>
    <t>하천·저수지</t>
  </si>
  <si>
    <t>다만·예외·동의 단서</t>
  </si>
  <si>
    <t>제12조의3</t>
  </si>
  <si>
    <t>3. 시설물관리기관(도로, 하천, 구거)에서 유지관리 등에 이상이 없다고 판단하여 점·사용허가를 얻은 경우(다만, 주민이 실제 거주하는 주택의 부지경계로부터 300미터 이상 이격할 것)</t>
  </si>
  <si>
    <t>가. 도로(왕복 2차로 이상의 포장도로를 말한다. 이하 같다) 및 철도 부지경계에서 직선거리 100미터 이내에 입지하지 아니할 것 (다만, 자연적으로 형성되어 차폐된 지역으로서 도로 가시권 밖에 위치한 경우에는 주변환경 및 경관에 영향을 미치지 아니하는 범위 내에서 예외로 할 수 있다.)</t>
  </si>
  <si>
    <t>다. 「문화유산법」에 따른 문화재 및 「여수시 문화유산보호관리 조례」에 따른 향토문화유산 부지경계에서 직선거리 300미터 이내에 입지하지 아니할 것&lt;개정 2024. 5. 17.&gt;</t>
  </si>
  <si>
    <t>나.  주민이 실제 거주하는 주택 부지경계에서 300미터 이내에 입지하지 아니할 것. 다만, 해당 세대주 전체의 동의를 받은 경우에는 예외로 할 수 있다. &lt;단서 신설 2019. 5. 13., 단서 개정 2020. 7. 6.&gt;</t>
  </si>
  <si>
    <t>순천시</t>
  </si>
  <si>
    <t>12150</t>
  </si>
  <si>
    <t>순천시 도시계획 조례</t>
  </si>
  <si>
    <t>제20조의2</t>
  </si>
  <si>
    <t>③ 풍력 발전시설은 도로, 5호 이상 주거 밀집지역, 축사로부터 각각 2,000m 이내에 입지하지 아니하여야 한다. &lt;개정 2019. 6. 10.&gt;</t>
  </si>
  <si>
    <t>1. 도로에서 200미터 이내에 입지하지 아니할 것</t>
  </si>
  <si>
    <t>광양시</t>
  </si>
  <si>
    <t>12190</t>
  </si>
  <si>
    <t>광양시 도시계획 조례</t>
  </si>
  <si>
    <t>제21조의2</t>
  </si>
  <si>
    <t>1. 10호 이상(호간 이격거리 50미터 이내 주택 포함)의 집단 취락지역 경계 주택과 주요 관광지(유원지, 공원 등) 및 공공시설, 축사의 경계로부터 2,000미터 이내에 입지하지 아니할 것(대지를 조성 중이거나 조성이 완료된 대지도 집단 취락지역으로 포함한다) &lt;개정 2025. 12. 31.&gt;</t>
  </si>
  <si>
    <t>공공시설</t>
  </si>
  <si>
    <t>1. 10호 이상(호간 이격거리 50미터 이내 주택 포함)의 집단 취락지역 경계 주택과 주요 관광지(유원지, 공원 등) 및 공공시설의 경계로부터 500미터 이내에 입지하지 아니할 것(대지를 조성 중이거나 조성이 완료된 대지도 집단취락지역으로 포함한다) &lt;개정 2025. 12. 31.&gt;</t>
  </si>
  <si>
    <t>2. 「도로법」 상 도로 및 철도의 경계로부터 2,000미터 이내에 입지하지 아니할 것(단, 터널 등 지하에 위치하여 가시권에 영향이 없는 경우는 제외한다) &lt;개정 2025. 12. 31.&gt;</t>
  </si>
  <si>
    <t>2. 「도로법」 상 국도나 고속국도 경계로부터 250미터 이내에 입지하지 아니할 것</t>
  </si>
  <si>
    <t>3. 하천, 저수지, 상수도보호구역, 공유수면, 해안선 등 수질오염이 우려되는 곳의 경계로부터 100미터 이내에 입지하지 아니할 것</t>
  </si>
  <si>
    <t>1. 10호 이상(호간 이격거리 50미터이내 주택 포함)의 집단 취락지역 경계 주택과 주요 관광지(유원지, 공원 등) 및 공공시설의 경계로부터 200미터 이내에 입지하지 아니할 것(대지를 조성 중이거나 조성이 완료된 대지도 집단취락지역으로 포함한다) &lt;개정 2025. 12. 31.&gt;</t>
  </si>
  <si>
    <t>2. 「도로법」 상 도로 및 철도의 경계로부터 100미터 이내에 입지하지 아니할 것(단, 터널 등 지하에 위치하여 가시권에 영향이 없는 경우는 제외한다) &lt;개정 2025. 12. 31.&gt;</t>
  </si>
  <si>
    <t>담양군</t>
  </si>
  <si>
    <t>12710</t>
  </si>
  <si>
    <t>담양군 도시계획 조례</t>
  </si>
  <si>
    <t>2. 취락지구(법 제37조에 따라 지정된 지구), 주요관광지, 공공시설 부지 경계로부터 직선거리 500m 안에 입지하지 아니할 것</t>
  </si>
  <si>
    <t>곡성군</t>
  </si>
  <si>
    <t>12720</t>
  </si>
  <si>
    <t>곡성군 도시계획 조례</t>
  </si>
  <si>
    <t>제14조의3</t>
  </si>
  <si>
    <t>5.주요 관광지(기차마을 유원지, 도림사 관광단지)의 경계로부터 직선거리 500미터 안에 입지하지 아니할 것 &lt;개정 2017.10.11., 2018.3.21.&gt;</t>
  </si>
  <si>
    <t>1. 「도로법」제10조에 따른 주요도로(국도, 지방도, 군도) 및 「농어촌도로 정비법」 제4조제2항제1호에 따른 면도에서 직선거리 500미터 안에 입지하지 아니할 것. &lt;개정 2017.10.11., 2018.3.21., 2018.12.27.&gt; 다만, 이 경우 왕복 2차로 이상의 포장도로로 한정함. &lt;신설 2018.3.21.&gt;</t>
  </si>
  <si>
    <t>2. 10호 이상 주민이 거주하는 자연취락지구의 경계로부터 직선거리 500미터 안에 입지하지 아니할 것 &lt;신설 2018.3.21.&gt;[종전 제2호는 제5호로 이동&lt;2018.3.21.&gt;</t>
  </si>
  <si>
    <t>3. 10호 미만 주민이 거주하는 자연취락지구의 경계로부터 직선거리 300미터 안에 입지하지 아니할 것 &lt;신설 2018.3.21.&gt;[종전 제3호는 제6호로 이동&lt;2018.3.21.&gt;</t>
  </si>
  <si>
    <t>구례군</t>
  </si>
  <si>
    <t>12730</t>
  </si>
  <si>
    <t>구례군 도시계획 조례</t>
  </si>
  <si>
    <t>제19조의2</t>
  </si>
  <si>
    <t>2. 5호 이상 주거 밀집지역 및 주요 관광지의 경계로부터 500미터 안에 입지하지 아니할 것</t>
  </si>
  <si>
    <t>1. 고속국도, 국도, 지방도, 군도, 농어촌 도로 경계로부터 500미터 안에 입지하지 아니할 것</t>
  </si>
  <si>
    <t>② 풍력발전시설은 5호 이상 주거 밀집지역의 경계로부터 2,000미터 안에 입지하지 아니하여야 한다.</t>
  </si>
  <si>
    <t>3. 국가하천, 지방하천, 소하천, 저수지 경계로부터 500미터 안에 입지하지 아니할 것</t>
  </si>
  <si>
    <t>2. 10호 이상 주거 밀집지역(주택 부지 간 이격거리가 50미터 이내인 지역을 말한다. 이하 같다) 및 주요 관광지의 경계로부터 500미터 이내 또는 5호 이상 10호 미만 주거 밀집지역의 경계로부터 100미터 안에 입지하지 아니할 것&lt;개정 2021. 11. 1.&gt;</t>
  </si>
  <si>
    <t>농지</t>
  </si>
  <si>
    <t>3. 저수지 또는 경지정리 등 집단화된 토지 중앙 부근(중핵지점으로부터 10분의 8 이내 및 가장자리로부터 1,000미터 이내)에 입지하지 아니할 것</t>
  </si>
  <si>
    <t>1. 고속국도, 국도, 지방도, 군도, 농어촌 도로 경계로부터 1,000미터 안에 입지하지 아니할 것</t>
  </si>
  <si>
    <t>보성군</t>
  </si>
  <si>
    <t>12750</t>
  </si>
  <si>
    <t>보성군 도시계획 조례</t>
  </si>
  <si>
    <t>1. 정온시설(초ㆍ중ㆍ고등학교, 도서관, 노인요양시설, 유치원, 병원, 경로당, 축사 등 정숙을 요하는 시설)물로부터 1,500미터</t>
  </si>
  <si>
    <t>2. 자연취락지구로부터 1,000미터</t>
  </si>
  <si>
    <t>3. 주거밀집지역(10호 이상의 실제 주민이 거주하는 인가가 밀집된 지역을 말함)으로부터 800미터(10호 미만은 500미터)</t>
  </si>
  <si>
    <t>6. 「보성군 관광진흥에 관한 조례」에 따른 주요 관광지,「관광진흥법」에 따른 관광지 시설부지로부터 500미터</t>
  </si>
  <si>
    <t>1. 「도로법」이 적용되는 도로로부터 500미터(개설된 도로에 한함)</t>
  </si>
  <si>
    <t>2. 「농어촌도로 정비법」에 따른 농어촌도로로부터 200미터(농도를 포함하며, 개설된 도로에 한함)</t>
  </si>
  <si>
    <t>1. 「도로법」이 적용되는 도로로부터 200미터(개설된 도로에 한함)</t>
  </si>
  <si>
    <t>3. 자연취락지구 경계로부터 500미터</t>
  </si>
  <si>
    <t>3. 자연취락지구 내 가장 가까운 거리에 있는 주택으로부터 시설부지 경계선까지 200미터(10호 미만이거나 전 세대로부터 동의를 받은 경우는 100미터)</t>
  </si>
  <si>
    <t>4. 주거밀집지역(10호 이상의 실제 주민이 거주하는 인가가 밀집된 지역을 말함) 내 가장 가까운 거리에 있는 주택부지 경계로부터 시설부지 경계선까지 500미터(10호 미만은 300미터)</t>
  </si>
  <si>
    <t>4. 주거밀집지역(10호 이상의 실제 주민이 거주하는 인가가 밀집된 지역을 말함)내 가장 가까운 거리에 있는 주택에서 시설부지 경계선까지 200미터(10호 미만이거나 전 세대로부터 동의를 받은 경우는 100미터)</t>
  </si>
  <si>
    <t>화순군</t>
  </si>
  <si>
    <t>12760</t>
  </si>
  <si>
    <t>화순군 도시계획 조례</t>
  </si>
  <si>
    <t>1. 10호 이상 취락지역으로부터 2,000미터 이내에 입지하지 않을 것 &lt;개정 2020.10.13., 2022. 12. 8.&gt;</t>
  </si>
  <si>
    <t>2. 10호 미만 취락지역으로부터 1,500미터 이내에 입지하지 않을 것 &lt;개정 2020.10.13., 2022. 12. 8.&gt;</t>
  </si>
  <si>
    <t>5. 「관광진흥법」에 따른 관광지 및 관광단지로부터 500미터 이내에 입지하지 아니할 것</t>
  </si>
  <si>
    <t>1. 주요도로[국도, 지방도, 군도, 구(舊)국도(2차로 이상 포장도로), 농어촌도로(농도는 제외한다)를 말한다. 이하 같다] 및 10호 이상 취락지역(호간 이격거리 50미터 이내 주택을 포함한다. 이하 같다)으로부터 직선거리 500미터 안에 입지하지 않을 것</t>
  </si>
  <si>
    <t>1. 주요도로 및 10호 이상 취락지역으로부터 직선거리 200미터 안에 입지하지 않을 것</t>
  </si>
  <si>
    <t>1. 주요도로 및 10호 이상 취락지역으로부터 직선거리 100미터 안에 입지하지 않을 것</t>
  </si>
  <si>
    <t>2. 10호 미만의 취락지역의 경우 300미터 안에 입지하지 않을 것</t>
  </si>
  <si>
    <t>2. 10호 미만 취락지역으로부터 직선거리 100미터 안에 입지하지 않을 것</t>
  </si>
  <si>
    <t>2. 10호 미만 취락지역으로부터 직선거리 50미터 안에 입지하지 않을 것</t>
  </si>
  <si>
    <t>해남군</t>
  </si>
  <si>
    <t>12790</t>
  </si>
  <si>
    <t>해남군 도시계획 조례</t>
  </si>
  <si>
    <t>제19조의3</t>
  </si>
  <si>
    <t>1. 정온시설(초·중·고등학교, 도서관, 노인요양시설, 유치원, 병원, 「축산법」에 따른 가축 사육시설 등 정숙을 요하는 시설)물로부터 1,000미터 &lt;개정 2019. 2. 26.&gt; &lt;개정 2024. 8. 16.&gt;</t>
  </si>
  <si>
    <t>2. 자연취락지구로부터 700미터 &lt;개정 2024. 8. 16.&gt;</t>
  </si>
  <si>
    <t>3. 주거밀집지역(10호 이상의 실제 주민이 거주하는 인가가 밀집된 지역을 말함)으로부터 700미터(10호 미만은 500미터) &lt;개정 2024. 8. 16.&gt;</t>
  </si>
  <si>
    <t>6. 태양광 발전시설은 제1항제1호에서 제5호까지의 기준 이내, 풍력 발전시설은 제3항제1호에서 제3호까지의 기준 이내에 입지할 경우 주민 2/3 이상 동의 또는 공동 지분 참여가 있을 때에는 입지가 가능하다. 다만, 이 경우 주택으로부터 직선거리 100미터 이상이어야 한다. &lt;신설 2024. 8. 16.&gt;</t>
  </si>
  <si>
    <t>5. 「관광진흥법」에 따른 관광지 및 관광단지로부터 500미터</t>
  </si>
  <si>
    <t>5. 군민 태양광발전을 위한 개발행위 허가 신청일을 기준으로 해남군에 5년 이상 계속하여 주민등록을 두고 있는 사람이 본인이 소유한 토지에 소득창출을 목적으로 자연취락지구, 주거밀집지역, 주택, 관광지 및 관광단지로부터 100미터 이상 이격하고 발전용량 100킬로와트 미만의 태양광 발전시설을 설치(최초 1회에 한정한다)하는 경우 &lt;신설 2024. 4. 15.&gt; &lt;개정 2024. 8. 16.&gt; &lt;개정 2025. 7. 1.&gt;</t>
  </si>
  <si>
    <t>1. 「도로법」에 따른 도로(구 국도 및 지방도 포함) 및 군계획시설 도로로부터 100미터 &lt;개정 2019. 2. 26.&gt; &lt;개정 2024. 8. 16.&gt;</t>
  </si>
  <si>
    <t>3. 자연취락지구로부터 500미터</t>
  </si>
  <si>
    <t>4. 주거밀집지역(10호 이상의 실제 주민이 거주하는 인가가 밀집된 지역을 말함)으로부터 500미터(10호 미만은 100미터)</t>
  </si>
  <si>
    <t>② 제1항에도 불구하고 제1항제1호, 제3호에서 제6호까지의 기준 이내 입지한 기존 태양광 발전시설은 당초 허가받은 개발행위 허가 면적 범위 이내에서 변경하는 경우 당초 개발행위 허가 당시의 발전시설에 대한 허가기준을 적용한다. 다만, 제1항제3호 및 제4호는 변경 발전 용량이 300킬로와트 이상 또는 주택으로부터 100미터 이내일 경우 해당 주민들의 동의를 받거나 주민들의 공동지분 참여가 있어야 하며, 이에 대한 세부적인 기준은 군수가 따로 정한다. &lt;신설 2024. 4. 15.&gt; &lt;개정 2024. 8. 16.&gt; &lt;개정 2024. 9. 19.&gt;</t>
  </si>
  <si>
    <t>영암군</t>
  </si>
  <si>
    <t>12800</t>
  </si>
  <si>
    <t>영암군 도시계획 조례</t>
  </si>
  <si>
    <t>제20조의3</t>
  </si>
  <si>
    <t>2. 5호 이상 주거 밀집지역(각 호별 거리가 50미터 이내에 위치하여야 한다)으로부터 직선거리 300m 이내에 입지하지 아니할 것</t>
  </si>
  <si>
    <t>3. 5호 미만 거주할 경우 직선거리 100m 이내에 입지하지 아니할 것</t>
  </si>
  <si>
    <t>무안군</t>
  </si>
  <si>
    <t>12810</t>
  </si>
  <si>
    <t>무안군 도시계획 조례</t>
  </si>
  <si>
    <t>제17조의2</t>
  </si>
  <si>
    <t>3. 주거밀집지역(10호 이상의 실제 주민이 거주하는 인가가 밀집된 지역을 말함)으로부터 1,000미터(10호 미만은 700미터)</t>
  </si>
  <si>
    <t>5.「관광진흥법」에 따른 관광지 및 관광단지로부터 500미터</t>
  </si>
  <si>
    <t>7. 신청면적이 15,000 제곱미터(1필지를 분할하여 동시 사업신청 또는 2필지 이상을 다수의 사업구역으로 분할하여 사업신청 시 하나의 사업대상지로 본다. 다만, 기 개발행위가 준공된 인접한 발전시설 부지는 제외한다.) 이상 시 1호, 2호에 따른 도로경계로부터 500미터(신설 2021.12.30.)</t>
  </si>
  <si>
    <t>1.「도로법」이 적용되는 개설된 도로(시행계획이 수립된 도로 포함)의 경계로부터 200미터 &lt;개정 2025.4.7.&gt;</t>
  </si>
  <si>
    <t>2.「농어촌도로정비법」에 따른 개설된 면도(시행계획이 수립된 도로 포함)의 경계로부터 100미터 &lt;개정 2025.4.7.&gt;</t>
  </si>
  <si>
    <t>3. 자연취락지구로부터 200미터(개정 2021.12.30.) &lt;개정 2025.9.29.&gt;</t>
  </si>
  <si>
    <t>4. 주거밀집지역(10호 이상의 실제 주민이 거주하는 인가가 밀집된 지역을 말함)으로부터 200미터(10호 미만은 100미터)(개정 2021.12.30.) &lt;개정 2025.4.7.&gt; &lt;개정 2025.9.29.&gt;</t>
  </si>
  <si>
    <t>가. 10호 이상 주거밀집지역으로부터 직선거리 100미터 안에 입지하지 않을 것 &lt;신설 2025.4.7. 조2990&gt;</t>
  </si>
  <si>
    <t>나. 10호 미만 취락지역으로부터 직선거리 50미터 안에 입지 하지 않을 것 &lt;신설 2025.4.7. 조2990&gt;</t>
  </si>
  <si>
    <t>함평군</t>
  </si>
  <si>
    <t>12820</t>
  </si>
  <si>
    <t>함평군 도시계획 조례</t>
  </si>
  <si>
    <t>2. 10호 이상 주거 밀집지역(각 호별 거리가 50미터 이내에 있어야 한다), 해안가, 공공시설 부지 경계로부터 300미터 이내에 입지하지 않을 것</t>
  </si>
  <si>
    <t>1. 주요도로(고속국도, 일반국도, 지방도, 군도 등), 관광지에서 500미터 이내에 입지하지 않을 것</t>
  </si>
  <si>
    <t>3. 10호 미만 주거 밀집지역(각 호별 거리가 50미터 이내에 있어야 한다) 250미터 이내에 입지하지 않을 것</t>
  </si>
  <si>
    <t>장성군</t>
  </si>
  <si>
    <t>12840</t>
  </si>
  <si>
    <t>장성군 도시계획 조례</t>
  </si>
  <si>
    <t>4. 관광지 및 축사관련시설의 경우 부지 경계로 부터 직선거리로 1500미터 이내</t>
  </si>
  <si>
    <t>1. 주요도로에서 직선거리로 500미터 이내</t>
  </si>
  <si>
    <t>3. 정온시설(학교, 도서관, 노인요양시설, 유치원, 병원 등 정숙을 요하는 시설)의 경우 부지 경계로 부터 직선거리로 2000미터 이내</t>
  </si>
  <si>
    <t>2. 주거밀집지역인 경우 부지 경계로부터 직선거리로 2000미터 이내(10호 미만인 경우 부지 경계로부터 직선거리로 1500미터)</t>
  </si>
  <si>
    <t>1. 주요도로, 주거 밀집지역, 관광지 및 관광단지 경계에서 사업부지가 직선거리 200m 안에 입지하지 아니할 것 &lt;개정 2020.8.3. 2022.11.17. 2026.3.25.&gt;</t>
  </si>
  <si>
    <t>완도군</t>
  </si>
  <si>
    <t>12850</t>
  </si>
  <si>
    <t>완도군 도시계획 조례</t>
  </si>
  <si>
    <t>3. 생산시설(축사, 축양장 등)로부터 1,000미터 안에 입지하지 아니할 것</t>
  </si>
  <si>
    <t>1. 「도로법」제10조에 따른 일반국도, 지방도, 군도와 「농어촌 도로정비법」제4조에 따른 면도, 이도 농도에서 1,000미터 안에 입지하지 않을 것</t>
  </si>
  <si>
    <t>2. 5호 이상 주거밀집지역으로부터 직선거리 1,000미터 안에 입지하지 아니할 것(다만, 5호 미만의 경우 500미터 안에 입지하지 아니할 것)</t>
  </si>
  <si>
    <t>5. 「관광진흥법」에 따른 관광지 및 관광단지 경계로부터 500미터 안에 입지하지 아니할 것</t>
  </si>
  <si>
    <t>1. 「도로법」제10조에 따른 일반국도, 지방도, 군도와 「농어촌 도로정비법」제4조에 따른 면도, 이도, 농도에서 1000미터 안에 입지하지 않을 것(개정 2021. 12. 20.)</t>
  </si>
  <si>
    <t>다. 5호 이상 주거밀집지역으로부터 100미터 안에 입지하지 아니할 것. 다만, 「도로법」 제2조 제1호에 따른 도로의 경우 교통안전, 재해예방 등 공익상 필요하다고 인정되는 범위에서 이격거리를 둘 수 있다.</t>
  </si>
  <si>
    <t>4. 「문화재보호법」의 적용을 받는 문화재 부지 경계로부터 500미터 안에 입지하지 아니할 것</t>
  </si>
  <si>
    <t>2. 5호 이상 주거밀집지역으로부터 직선거리 500미터 안에 입지하지 아니할 것. 다만, 5호 미만의 경우 100미터 안에 입지하지 아니할 것</t>
  </si>
  <si>
    <t>진도군</t>
  </si>
  <si>
    <t>12860</t>
  </si>
  <si>
    <t>진도군 도시계획 조례</t>
  </si>
  <si>
    <t>제18조</t>
  </si>
  <si>
    <t>1. 국도, 축산법에 의한 축사(사육시설)에서 직선거리 1,000미터 안에 입지하지 아니할 것.</t>
  </si>
  <si>
    <t>3. 10호 미만의 주거지역, 육상 축양장 등 생산시설로부터 직선거리 500미터 안에 입지하지 아니할 것.</t>
  </si>
  <si>
    <t>1. 국도, 지방도, 군도, 10호 이상 주거지역, 관광진흥법에 의한 관광지, 공공시설(학교, 병원, 공동주택, 연수시설 등), 농공단지, 산업단지 부지 경계로부터 직선거리 500미터 안에 입지하지 아니할 것</t>
  </si>
  <si>
    <t>2. 지방도, 군도, 10호 이상 주거지역에서 직선거리 700미터 안에 입지하지 아니할 것. 다만 제한지역 밖이라도 인근에 10호 이상 주거지역이 있을 경우에는 거주민의 동의(주민총회)를 받아야 한다.</t>
  </si>
  <si>
    <t>⑨ 제5항에도 불구하고 해당 주민(해당 지역에 주민등록을 두고 실거주하는 주민) 100분의 70 이상의 동의 또는 공동지분참여(해당 주민 100분의 60 이상의 조합원 가입)가 있을 때 해당 지역의 발전 및 주민들의 소득 향상에 기여하는 등 지역 여건이나 사업 특성상 특별한 사유가 있다고 군수가 인정하는 경우에는 군계획위원회의 자문을 받아 이격 거리 제한을 완화하여 적용할 수 있다. 다만, 이 경우 주택으로부터 직선거리 400미터 이상이어야 한다.&lt;신설 2024. 11. 6.&gt;</t>
  </si>
  <si>
    <t>2. 하천법에 의한 하천이나 농어촌정비법에 의한 저수지 경계로부터 직선거리 200미터 안에 입지하지 아니할 것</t>
  </si>
  <si>
    <t>2. 5호 이상 주거지역인 경우 직선거리 300미터, 관광진흥법에 의한 관광지, 공공시설 부지 경계로부터 직선거리 500미터 안에 입지하지 아니하여야 한다. 다만, 5호 미만의 주거지역인 경우 직선거리 100미터 안에 입지하지 아니할 것(주택별 이격거리 50미터 이내)</t>
  </si>
  <si>
    <t>1. 국도, 지방도, 군도, 농어촌도로(면도, 리도, 농도)에서 직선거리 500미터 안에 입지하지 아니할 것. 다만, 진도군에 5년 이상 계속하여 주민등록(법인등록 포함)을 두고 있는 군민 또는 법인에 한하여 국도, 지방도, 군도에서 직선거리 300미터 안에 입지하지 아니하여야 하며, 농어촌도로(면도, 리도, 농도)에서 직선거리 200미터 안에 입지하지 아니할 것.</t>
  </si>
  <si>
    <t>신안군</t>
  </si>
  <si>
    <t>12870</t>
  </si>
  <si>
    <t>신안군 도시계획 조례</t>
  </si>
  <si>
    <t>3. 가축 및 사육시설로부터 1,000미터 이상 이격할 것</t>
  </si>
  <si>
    <t>2. 「관광진흥법」에ㆍ따른ㆍ관광지 및 관광단지,ㆍ「농어촌정비법」에ㆍ따른ㆍ농어촌ㆍ관광휴양단지로부터ㆍ300미터ㆍ이상ㆍ이격할ㆍ것</t>
  </si>
  <si>
    <t>1. 초ㆍ중ㆍ고등학교, 도서관, 노인요양시설, 유치원, 병원, 경로당 등 조용한 주변 환경이 필요한 시설물로부터 1,500미터 이상 이격할 것</t>
  </si>
  <si>
    <t>2. 호간 이격거리 100미터 이내의 주거 밀집지역(주민이 실거주하는 인가가 10호 이상 밀집된 지역)으로부터 1,500미터(10호 미만은 1,000미터) 이상 이격할 것</t>
  </si>
  <si>
    <t>1. 호간 이격거리 100미터 이내의 주거 밀집지역(주민이 실거주하는 인가가 10호 이상 밀집된 지역)으로부터 300미터(10호 미만은 150미터) 이상 이격할 것</t>
  </si>
  <si>
    <t>3. 「관광진흥법」에 따른 관광지, 관광단지 및 「농어촌정비법」에 따른 농어촌 관광휴양단지로부터 100미터 이상 이격할 것</t>
  </si>
  <si>
    <t>2. 호간 이격거리 100미터 이내의 주거 밀집지역(주민이 실거주하는 인가가 10호 이상 밀집된 지역)으로부터 100미터(10호 미만은 50미터) 이상 이격할 것</t>
  </si>
  <si>
    <t>전남 22개 시군 도시계획 조례의 발전시설 이격거리 조항 · 2026-09-18 작성</t>
  </si>
  <si>
    <t>이 표의 목적</t>
  </si>
  <si>
    <t>무엇을</t>
  </si>
  <si>
    <t>조례 원문에서 기계로 뽑아낸 이격거리 '후보'를 사람이 원문과 대조해 확정합니다. 확정한 값만 판정 시스템(data/setback_table.csv)에 들어갑니다.</t>
  </si>
  <si>
    <t>왜 사람이</t>
  </si>
  <si>
    <t>조례 해석은 법령 판단이라 기계가 대신할 수 없습니다. 추출 후보는 검토를 빠르게 하기 위한 보조일 뿐이며, 틀릴 수 있습니다. 반드시 K열 원문과 대조해 주세요.</t>
  </si>
  <si>
    <t>작성 방법</t>
  </si>
  <si>
    <t>노란 칸만 채웁니다</t>
  </si>
  <si>
    <t>M~S열(노란색)만 입력합니다. 나머지 열은 원문에서 가져온 참고값이라 수정하지 않습니다.</t>
  </si>
  <si>
    <t>1. 원문 확인</t>
  </si>
  <si>
    <t>K열 원문을 읽고, F·G열 후보값이 맞는지 봅니다. L열 링크로 조례 전문을 열 수 있습니다.</t>
  </si>
  <si>
    <t>2. 값 확정</t>
  </si>
  <si>
    <t>M열 확정 거리(m), N열 밀집 기준 호수를 입력합니다. 후보가 맞으면 같은 값을 그대로 적습니다. T열이 '일치/변경'을 자동으로 보여줍니다.</t>
  </si>
  <si>
    <t>3. 반영 여부</t>
  </si>
  <si>
    <t>P열에 Y(판정에 반영) 또는 N(반영 안 함)을 고릅니다. 예외 조항이거나 이격거리가 아닌 행은 N.</t>
  </si>
  <si>
    <t>4. 서명</t>
  </si>
  <si>
    <t>Q열 검토자, R열 검토일을 적습니다. 검토자가 비어 있는 행은 시스템이 무시합니다.</t>
  </si>
  <si>
    <t>꼭 봐야 하는 행</t>
  </si>
  <si>
    <t>주황색 행</t>
  </si>
  <si>
    <t>H열에 사유가 적힌 행입니다. 한 줄에 거리가 여러 개(예: '10호 미만은 300미터')이거나 '다만/예외/동의' 단서가 붙어 있어 후보값이 틀렸을 가능성이 높습니다.</t>
  </si>
  <si>
    <t>'직접 확인 필요' 시트</t>
  </si>
  <si>
    <t>조문을 찾지 못했거나(고흥·장흥·강진·영광) 구조가 달라 추출이 안 된(나주) 5개 시군입니다. 조례 전문을 직접 확인해야 합니다.</t>
  </si>
  <si>
    <t>기대 효과 (중요)</t>
  </si>
  <si>
    <t>표를 다 채우면</t>
  </si>
  <si>
    <t>근거 조문이 정확해지고, 아래 두 경우는 실제 판정이 나옵니다.
· 조례에 이격 규정이 '없다'고 확인된 시군 → 비저촉
· 개발행위허가 신청일이 2026-09-18 이전 → 조건부(종전 조례 적용)</t>
  </si>
  <si>
    <t>그래도 남는 것</t>
  </si>
  <si>
    <t>2026-09-18 이후 신청분 대부분은 여전히 '판정불가'입니다. 「신재생에너지법」 제27조의3에 따라 역사문화환경보존지역·생태경관보전지역 해당 여부를 알아야 판단할 수 있는데, 그 판별이 아직 자동화되지 않았기 때문입니다. 이 표를 채우는 것만으로는 해결되지 않습니다.</t>
  </si>
  <si>
    <t>입력 예시</t>
  </si>
  <si>
    <t>예시 (목포시 도로)</t>
  </si>
  <si>
    <t>F 후보 100 → M 확정 100, N 비움, O 2020-08-10(1호 개정일), P Y, Q 서장훈, R 2026-09-20
※ 예시는 이 시트에만 있습니다. 검토표에 가짜 확정값을 넣지 않은 것은, 그 행이 실수로 판정 시스템에 들어가면 사람이 확인하지 않은 값이 확정값처럼 쓰이기 때문입니다.</t>
  </si>
  <si>
    <t>시군별 검토 현황</t>
  </si>
  <si>
    <t>검토표에 입력하면 자동으로 갱신됩니다</t>
  </si>
  <si>
    <t>후보 행수</t>
  </si>
  <si>
    <t>검토 완료
(검토자 있음)</t>
  </si>
  <si>
    <t>반영(Y)</t>
  </si>
  <si>
    <t>진행률</t>
  </si>
  <si>
    <t>비고</t>
  </si>
  <si>
    <t>나주시</t>
  </si>
  <si>
    <t>12170</t>
  </si>
  <si>
    <t>조문은 있으나 '요건을 모두 갖춘 경우 허가' 구조라 자동 추출 안 됨</t>
  </si>
  <si>
    <t>고흥군</t>
  </si>
  <si>
    <t>12740</t>
  </si>
  <si>
    <t>이격 조문을 찾지 못함</t>
  </si>
  <si>
    <t>장흥군</t>
  </si>
  <si>
    <t>12770</t>
  </si>
  <si>
    <t>강진군</t>
  </si>
  <si>
    <t>12780</t>
  </si>
  <si>
    <t>영광군</t>
  </si>
  <si>
    <t>12830</t>
  </si>
  <si>
    <t>합계</t>
  </si>
  <si>
    <t>직접 확인 필요 (5개 시군)</t>
  </si>
  <si>
    <t>자동 추출이 안 된 시군입니다. 조례 전문을 열어 이격 규정이 있는지 확인하고, 있으면 검토표 맨 아래에 행을 추가해 주세요. 규정이 '없다'고 확인되면 그 사실도 판정에 쓰입니다(→ 비저촉).</t>
  </si>
  <si>
    <t>사유</t>
  </si>
  <si>
    <t>수집된 조문 (앞부분)</t>
  </si>
  <si>
    <t>제24조(개발행위허가의 기준) 
① 개발행위 허가를 하고자 하는 지역 또는 주변지역이 다음 각 호의 어느 하나에 해당되는 경우에는 개발행위로 인하여 해당 지역 또는 그 주변 지역에 환경오염, 생태계파괴, 위해발생 등이 예상되므로 환경오염의 방지, 조경, 녹지의 조성, 완충지대의 설치 등 필요한 조치를 조건으로 하는 경우 외에는 개발행위허가를 하여서는 아니 된다.
1. 보호수의 보존에 필요한 지역
2. 「자연환경보전법」 제2조에 따른 멸종위기 야생동ㆍ식물, 보호생동ㆍ식물, 국제적 멸종위기 등이 서식 또는 자생하고 있거나 다양한 생물종이 풍부한 습지 등과 연결되어 생태보전이 필요한 지역
3. 녹지지역 또는 계획관리지역으로서 수목의 집단 생육지역, 조수류 등의 집단 서식지역 또는 우량농지 등으로 보전할 필요가 있는 지역
4. 개발행위로 인하여 주변의 환경ㆍ경관ㆍ미관ㆍ문화재 등이 크게 오염 손상될 우려가 있는 지역
5. 도시기본계획 또는 도시관리계획이 수립중인 지역으로써 용도지역ㆍ지구ㆍ구역 변경이 예상되고 그에 따라 개발행위허가 기준이 크게 달라질 것으로 예상 되는 지역
② 영 제56조의 별표 1의2 제1호가목에 따라 시장은 다음 각 호의 요건을 모두 갖춘 행위에  …</t>
  </si>
  <si>
    <t>(자동수집 실패 - 조례 전문에서 '이격' 언급 조문 없음)</t>
  </si>
  <si>
    <t>링크 없음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</si>
</sst>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x14ac:knownFonts="1">
    <font>
      <sz val="11"/>
      <color theme="1"/>
      <name val="맑은 고딕"/>
      <family val="2"/>
      <scheme val="minor"/>
    </font>
    <font>
      <b/>
      <sz val="14"/>
      <name val="맑은 고딕"/>
      <family val="3"/>
      <charset val="129"/>
    </font>
    <font>
      <sz val="9"/>
      <color rgb="FF595959"/>
      <name val="맑은 고딕"/>
      <family val="3"/>
      <charset val="129"/>
    </font>
    <font>
      <b/>
      <sz val="11"/>
      <color rgb="FF2F4F6F"/>
      <name val="맑은 고딕"/>
      <family val="3"/>
      <charset val="129"/>
    </font>
    <font>
      <b/>
      <sz val="10"/>
      <name val="맑은 고딕"/>
      <family val="3"/>
      <charset val="129"/>
    </font>
    <font>
      <sz val="10"/>
      <name val="맑은 고딕"/>
      <family val="3"/>
      <charset val="129"/>
    </font>
    <font>
      <b/>
      <sz val="10"/>
      <color rgb="FFFFFFFF"/>
      <name val="맑은 고딕"/>
      <family val="3"/>
      <charset val="129"/>
    </font>
    <font>
      <u/>
      <sz val="10"/>
      <color rgb="FF0563C1"/>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2F4F6F"/>
      </patternFill>
    </fill>
    <fill>
      <patternFill patternType="solid">
        <fgColor rgb="FFB8860B"/>
      </patternFill>
    </fill>
    <fill>
      <patternFill patternType="solid">
        <fgColor rgb="FFFFF2CC"/>
      </patternFill>
    </fill>
    <fill>
      <patternFill patternType="solid">
        <fgColor rgb="FFFCE4D6"/>
      </patternFill>
    </fill>
    <fill>
      <patternFill patternType="solid">
        <fgColor rgb="FFF7F9FB"/>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style="medium">
        <color rgb="FF2F4F6F"/>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7" fillId="0" borderId="1" xfId="0" applyFont="1" applyBorder="1" applyAlignment="1">
      <alignment vertical="top" wrapText="1"/>
    </xf>
    <xf numFmtId="0" fontId="5" fillId="4" borderId="1" xfId="0" applyFont="1" applyFill="1" applyBorder="1" applyAlignment="1">
      <alignment horizontal="center" vertical="top" wrapText="1"/>
    </xf>
    <xf numFmtId="176" fontId="5" fillId="4" borderId="1" xfId="0" applyNumberFormat="1"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vertical="top" wrapText="1"/>
    </xf>
    <xf numFmtId="0" fontId="7" fillId="5" borderId="1" xfId="0" applyFont="1" applyFill="1" applyBorder="1" applyAlignment="1">
      <alignment vertical="top" wrapText="1"/>
    </xf>
    <xf numFmtId="0" fontId="5" fillId="6" borderId="1" xfId="0" applyFont="1" applyFill="1" applyBorder="1" applyAlignment="1">
      <alignment horizontal="center" vertical="top" wrapText="1"/>
    </xf>
    <xf numFmtId="0" fontId="5" fillId="6" borderId="1" xfId="0" applyFont="1" applyFill="1" applyBorder="1" applyAlignment="1">
      <alignment vertical="top" wrapText="1"/>
    </xf>
    <xf numFmtId="0" fontId="7" fillId="6" borderId="1" xfId="0" applyFont="1" applyFill="1" applyBorder="1" applyAlignment="1">
      <alignment vertical="top" wrapText="1"/>
    </xf>
    <xf numFmtId="9" fontId="5" fillId="0" borderId="1" xfId="0" applyNumberFormat="1" applyFont="1" applyBorder="1" applyAlignment="1">
      <alignment horizontal="center" vertical="top" wrapText="1"/>
    </xf>
    <xf numFmtId="9" fontId="5" fillId="5" borderId="1" xfId="0" applyNumberFormat="1" applyFont="1" applyFill="1" applyBorder="1" applyAlignment="1">
      <alignment horizontal="center" vertical="top" wrapText="1"/>
    </xf>
    <xf numFmtId="0" fontId="4" fillId="0" borderId="2" xfId="0" applyFont="1" applyBorder="1"/>
    <xf numFmtId="0" fontId="0" fillId="0" borderId="2" xfId="0" applyBorder="1"/>
    <xf numFmtId="0" fontId="4" fillId="0" borderId="2" xfId="0" applyFont="1" applyBorder="1" applyAlignment="1">
      <alignment horizontal="center" vertical="top" wrapText="1"/>
    </xf>
    <xf numFmtId="9" fontId="4" fillId="0" borderId="2" xfId="0" applyNumberFormat="1" applyFont="1" applyBorder="1" applyAlignment="1">
      <alignment horizontal="center" vertical="top" wrapText="1"/>
    </xf>
    <xf numFmtId="0" fontId="7" fillId="0" borderId="1" xfId="0" applyFont="1" applyBorder="1" applyAlignment="1">
      <alignment horizontal="center" vertical="top" wrapText="1"/>
    </xf>
    <xf numFmtId="0" fontId="2" fillId="0" borderId="0" xfId="0" applyFont="1" applyAlignment="1">
      <alignment vertical="top"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law.go.kr/DRF/lawService.do?target=ordin&amp;MST=2155805&amp;type=HTML" TargetMode="External"/><Relationship Id="rId21" Type="http://schemas.openxmlformats.org/officeDocument/2006/relationships/hyperlink" Target="https://www.law.go.kr/DRF/lawService.do?target=ordin&amp;MST=2090475&amp;type=HTML" TargetMode="External"/><Relationship Id="rId42" Type="http://schemas.openxmlformats.org/officeDocument/2006/relationships/hyperlink" Target="https://www.law.go.kr/DRF/lawService.do?target=ordin&amp;MST=2105463&amp;type=HTML" TargetMode="External"/><Relationship Id="rId63" Type="http://schemas.openxmlformats.org/officeDocument/2006/relationships/hyperlink" Target="https://www.law.go.kr/DRF/lawService.do?target=ordin&amp;MST=2157793&amp;type=HTML" TargetMode="External"/><Relationship Id="rId84" Type="http://schemas.openxmlformats.org/officeDocument/2006/relationships/hyperlink" Target="https://www.law.go.kr/DRF/lawService.do?target=ordin&amp;MST=2095815&amp;type=HTML" TargetMode="External"/><Relationship Id="rId138" Type="http://schemas.openxmlformats.org/officeDocument/2006/relationships/hyperlink" Target="https://www.law.go.kr/DRF/lawService.do?target=ordin&amp;MST=2133547&amp;type=HTML" TargetMode="External"/><Relationship Id="rId107" Type="http://schemas.openxmlformats.org/officeDocument/2006/relationships/hyperlink" Target="https://www.law.go.kr/DRF/lawService.do?target=ordin&amp;MST=2164393&amp;type=HTML" TargetMode="External"/><Relationship Id="rId11" Type="http://schemas.openxmlformats.org/officeDocument/2006/relationships/hyperlink" Target="https://www.law.go.kr/DRF/lawService.do?target=ordin&amp;MST=2090475&amp;type=HTML" TargetMode="External"/><Relationship Id="rId32" Type="http://schemas.openxmlformats.org/officeDocument/2006/relationships/hyperlink" Target="https://www.law.go.kr/DRF/lawService.do?target=ordin&amp;MST=2105463&amp;type=HTML" TargetMode="External"/><Relationship Id="rId53" Type="http://schemas.openxmlformats.org/officeDocument/2006/relationships/hyperlink" Target="https://www.law.go.kr/DRF/lawService.do?target=ordin&amp;MST=1931817&amp;type=HTML" TargetMode="External"/><Relationship Id="rId74" Type="http://schemas.openxmlformats.org/officeDocument/2006/relationships/hyperlink" Target="https://www.law.go.kr/DRF/lawService.do?target=ordin&amp;MST=2157793&amp;type=HTML" TargetMode="External"/><Relationship Id="rId128" Type="http://schemas.openxmlformats.org/officeDocument/2006/relationships/hyperlink" Target="https://www.law.go.kr/DRF/lawService.do?target=ordin&amp;MST=2159767&amp;type=HTML" TargetMode="External"/><Relationship Id="rId149" Type="http://schemas.openxmlformats.org/officeDocument/2006/relationships/hyperlink" Target="https://www.law.go.kr/DRF/lawService.do?target=ordin&amp;MST=2133547&amp;type=HTML" TargetMode="External"/><Relationship Id="rId5" Type="http://schemas.openxmlformats.org/officeDocument/2006/relationships/hyperlink" Target="https://www.law.go.kr/DRF/lawService.do?target=ordin&amp;MST=2099295&amp;type=HTML" TargetMode="External"/><Relationship Id="rId95" Type="http://schemas.openxmlformats.org/officeDocument/2006/relationships/hyperlink" Target="https://www.law.go.kr/DRF/lawService.do?target=ordin&amp;MST=2092395&amp;type=HTML" TargetMode="External"/><Relationship Id="rId22" Type="http://schemas.openxmlformats.org/officeDocument/2006/relationships/hyperlink" Target="https://www.law.go.kr/DRF/lawService.do?target=ordin&amp;MST=2090475&amp;type=HTML" TargetMode="External"/><Relationship Id="rId43" Type="http://schemas.openxmlformats.org/officeDocument/2006/relationships/hyperlink" Target="https://www.law.go.kr/DRF/lawService.do?target=ordin&amp;MST=2105463&amp;type=HTML" TargetMode="External"/><Relationship Id="rId64" Type="http://schemas.openxmlformats.org/officeDocument/2006/relationships/hyperlink" Target="https://www.law.go.kr/DRF/lawService.do?target=ordin&amp;MST=2157793&amp;type=HTML" TargetMode="External"/><Relationship Id="rId118" Type="http://schemas.openxmlformats.org/officeDocument/2006/relationships/hyperlink" Target="https://www.law.go.kr/DRF/lawService.do?target=ordin&amp;MST=2155805&amp;type=HTML" TargetMode="External"/><Relationship Id="rId139" Type="http://schemas.openxmlformats.org/officeDocument/2006/relationships/hyperlink" Target="https://www.law.go.kr/DRF/lawService.do?target=ordin&amp;MST=2133547&amp;type=HTML" TargetMode="External"/><Relationship Id="rId80" Type="http://schemas.openxmlformats.org/officeDocument/2006/relationships/hyperlink" Target="https://www.law.go.kr/DRF/lawService.do?target=ordin&amp;MST=2095815&amp;type=HTML" TargetMode="External"/><Relationship Id="rId85" Type="http://schemas.openxmlformats.org/officeDocument/2006/relationships/hyperlink" Target="https://www.law.go.kr/DRF/lawService.do?target=ordin&amp;MST=2095815&amp;type=HTML" TargetMode="External"/><Relationship Id="rId150" Type="http://schemas.openxmlformats.org/officeDocument/2006/relationships/hyperlink" Target="https://www.law.go.kr/DRF/lawService.do?target=ordin&amp;MST=2164649&amp;type=HTML" TargetMode="External"/><Relationship Id="rId155" Type="http://schemas.openxmlformats.org/officeDocument/2006/relationships/hyperlink" Target="https://www.law.go.kr/DRF/lawService.do?target=ordin&amp;MST=2164649&amp;type=HTML" TargetMode="External"/><Relationship Id="rId12" Type="http://schemas.openxmlformats.org/officeDocument/2006/relationships/hyperlink" Target="https://www.law.go.kr/DRF/lawService.do?target=ordin&amp;MST=2090475&amp;type=HTML" TargetMode="External"/><Relationship Id="rId17" Type="http://schemas.openxmlformats.org/officeDocument/2006/relationships/hyperlink" Target="https://www.law.go.kr/DRF/lawService.do?target=ordin&amp;MST=2090475&amp;type=HTML" TargetMode="External"/><Relationship Id="rId33" Type="http://schemas.openxmlformats.org/officeDocument/2006/relationships/hyperlink" Target="https://www.law.go.kr/DRF/lawService.do?target=ordin&amp;MST=2105463&amp;type=HTML" TargetMode="External"/><Relationship Id="rId38" Type="http://schemas.openxmlformats.org/officeDocument/2006/relationships/hyperlink" Target="https://www.law.go.kr/DRF/lawService.do?target=ordin&amp;MST=2105463&amp;type=HTML" TargetMode="External"/><Relationship Id="rId59" Type="http://schemas.openxmlformats.org/officeDocument/2006/relationships/hyperlink" Target="https://www.law.go.kr/DRF/lawService.do?target=ordin&amp;MST=1931817&amp;type=HTML" TargetMode="External"/><Relationship Id="rId103" Type="http://schemas.openxmlformats.org/officeDocument/2006/relationships/hyperlink" Target="https://www.law.go.kr/DRF/lawService.do?target=ordin&amp;MST=2164393&amp;type=HTML" TargetMode="External"/><Relationship Id="rId108" Type="http://schemas.openxmlformats.org/officeDocument/2006/relationships/hyperlink" Target="https://www.law.go.kr/DRF/lawService.do?target=ordin&amp;MST=2164393&amp;type=HTML" TargetMode="External"/><Relationship Id="rId124" Type="http://schemas.openxmlformats.org/officeDocument/2006/relationships/hyperlink" Target="https://www.law.go.kr/DRF/lawService.do?target=ordin&amp;MST=2163925&amp;type=HTML" TargetMode="External"/><Relationship Id="rId129" Type="http://schemas.openxmlformats.org/officeDocument/2006/relationships/hyperlink" Target="https://www.law.go.kr/DRF/lawService.do?target=ordin&amp;MST=2159767&amp;type=HTML" TargetMode="External"/><Relationship Id="rId54" Type="http://schemas.openxmlformats.org/officeDocument/2006/relationships/hyperlink" Target="https://www.law.go.kr/DRF/lawService.do?target=ordin&amp;MST=1931817&amp;type=HTML" TargetMode="External"/><Relationship Id="rId70" Type="http://schemas.openxmlformats.org/officeDocument/2006/relationships/hyperlink" Target="https://www.law.go.kr/DRF/lawService.do?target=ordin&amp;MST=2157793&amp;type=HTML" TargetMode="External"/><Relationship Id="rId75" Type="http://schemas.openxmlformats.org/officeDocument/2006/relationships/hyperlink" Target="https://www.law.go.kr/DRF/lawService.do?target=ordin&amp;MST=2095815&amp;type=HTML" TargetMode="External"/><Relationship Id="rId91" Type="http://schemas.openxmlformats.org/officeDocument/2006/relationships/hyperlink" Target="https://www.law.go.kr/DRF/lawService.do?target=ordin&amp;MST=2092395&amp;type=HTML" TargetMode="External"/><Relationship Id="rId96" Type="http://schemas.openxmlformats.org/officeDocument/2006/relationships/hyperlink" Target="https://www.law.go.kr/DRF/lawService.do?target=ordin&amp;MST=2092395&amp;type=HTML" TargetMode="External"/><Relationship Id="rId140" Type="http://schemas.openxmlformats.org/officeDocument/2006/relationships/hyperlink" Target="https://www.law.go.kr/DRF/lawService.do?target=ordin&amp;MST=2133547&amp;type=HTML" TargetMode="External"/><Relationship Id="rId145" Type="http://schemas.openxmlformats.org/officeDocument/2006/relationships/hyperlink" Target="https://www.law.go.kr/DRF/lawService.do?target=ordin&amp;MST=2133547&amp;type=HTML" TargetMode="External"/><Relationship Id="rId1" Type="http://schemas.openxmlformats.org/officeDocument/2006/relationships/hyperlink" Target="https://www.law.go.kr/DRF/lawService.do?target=ordin&amp;MST=2099295&amp;type=HTML" TargetMode="External"/><Relationship Id="rId6" Type="http://schemas.openxmlformats.org/officeDocument/2006/relationships/hyperlink" Target="https://www.law.go.kr/DRF/lawService.do?target=ordin&amp;MST=2090475&amp;type=HTML" TargetMode="External"/><Relationship Id="rId23" Type="http://schemas.openxmlformats.org/officeDocument/2006/relationships/hyperlink" Target="https://www.law.go.kr/DRF/lawService.do?target=ordin&amp;MST=2090475&amp;type=HTML" TargetMode="External"/><Relationship Id="rId28" Type="http://schemas.openxmlformats.org/officeDocument/2006/relationships/hyperlink" Target="https://www.law.go.kr/DRF/lawService.do?target=ordin&amp;MST=2139799&amp;type=HTML" TargetMode="External"/><Relationship Id="rId49" Type="http://schemas.openxmlformats.org/officeDocument/2006/relationships/hyperlink" Target="https://www.law.go.kr/DRF/lawService.do?target=ordin&amp;MST=2159961&amp;type=HTML" TargetMode="External"/><Relationship Id="rId114" Type="http://schemas.openxmlformats.org/officeDocument/2006/relationships/hyperlink" Target="https://www.law.go.kr/DRF/lawService.do?target=ordin&amp;MST=2155805&amp;type=HTML" TargetMode="External"/><Relationship Id="rId119" Type="http://schemas.openxmlformats.org/officeDocument/2006/relationships/hyperlink" Target="https://www.law.go.kr/DRF/lawService.do?target=ordin&amp;MST=2163925&amp;type=HTML" TargetMode="External"/><Relationship Id="rId44" Type="http://schemas.openxmlformats.org/officeDocument/2006/relationships/hyperlink" Target="https://www.law.go.kr/DRF/lawService.do?target=ordin&amp;MST=2105463&amp;type=HTML" TargetMode="External"/><Relationship Id="rId60" Type="http://schemas.openxmlformats.org/officeDocument/2006/relationships/hyperlink" Target="https://www.law.go.kr/DRF/lawService.do?target=ordin&amp;MST=1931817&amp;type=HTML" TargetMode="External"/><Relationship Id="rId65" Type="http://schemas.openxmlformats.org/officeDocument/2006/relationships/hyperlink" Target="https://www.law.go.kr/DRF/lawService.do?target=ordin&amp;MST=2157793&amp;type=HTML" TargetMode="External"/><Relationship Id="rId81" Type="http://schemas.openxmlformats.org/officeDocument/2006/relationships/hyperlink" Target="https://www.law.go.kr/DRF/lawService.do?target=ordin&amp;MST=2095815&amp;type=HTML" TargetMode="External"/><Relationship Id="rId86" Type="http://schemas.openxmlformats.org/officeDocument/2006/relationships/hyperlink" Target="https://www.law.go.kr/DRF/lawService.do?target=ordin&amp;MST=2095815&amp;type=HTML" TargetMode="External"/><Relationship Id="rId130" Type="http://schemas.openxmlformats.org/officeDocument/2006/relationships/hyperlink" Target="https://www.law.go.kr/DRF/lawService.do?target=ordin&amp;MST=2159767&amp;type=HTML" TargetMode="External"/><Relationship Id="rId135" Type="http://schemas.openxmlformats.org/officeDocument/2006/relationships/hyperlink" Target="https://www.law.go.kr/DRF/lawService.do?target=ordin&amp;MST=2159767&amp;type=HTML" TargetMode="External"/><Relationship Id="rId151" Type="http://schemas.openxmlformats.org/officeDocument/2006/relationships/hyperlink" Target="https://www.law.go.kr/DRF/lawService.do?target=ordin&amp;MST=2164649&amp;type=HTML" TargetMode="External"/><Relationship Id="rId156" Type="http://schemas.openxmlformats.org/officeDocument/2006/relationships/hyperlink" Target="https://www.law.go.kr/DRF/lawService.do?target=ordin&amp;MST=2164649&amp;type=HTML" TargetMode="External"/><Relationship Id="rId13" Type="http://schemas.openxmlformats.org/officeDocument/2006/relationships/hyperlink" Target="https://www.law.go.kr/DRF/lawService.do?target=ordin&amp;MST=2090475&amp;type=HTML" TargetMode="External"/><Relationship Id="rId18" Type="http://schemas.openxmlformats.org/officeDocument/2006/relationships/hyperlink" Target="https://www.law.go.kr/DRF/lawService.do?target=ordin&amp;MST=2090475&amp;type=HTML" TargetMode="External"/><Relationship Id="rId39" Type="http://schemas.openxmlformats.org/officeDocument/2006/relationships/hyperlink" Target="https://www.law.go.kr/DRF/lawService.do?target=ordin&amp;MST=2105463&amp;type=HTML" TargetMode="External"/><Relationship Id="rId109" Type="http://schemas.openxmlformats.org/officeDocument/2006/relationships/hyperlink" Target="https://www.law.go.kr/DRF/lawService.do?target=ordin&amp;MST=2164393&amp;type=HTML" TargetMode="External"/><Relationship Id="rId34" Type="http://schemas.openxmlformats.org/officeDocument/2006/relationships/hyperlink" Target="https://www.law.go.kr/DRF/lawService.do?target=ordin&amp;MST=2105463&amp;type=HTML" TargetMode="External"/><Relationship Id="rId50" Type="http://schemas.openxmlformats.org/officeDocument/2006/relationships/hyperlink" Target="https://www.law.go.kr/DRF/lawService.do?target=ordin&amp;MST=2159961&amp;type=HTML" TargetMode="External"/><Relationship Id="rId55" Type="http://schemas.openxmlformats.org/officeDocument/2006/relationships/hyperlink" Target="https://www.law.go.kr/DRF/lawService.do?target=ordin&amp;MST=1931817&amp;type=HTML" TargetMode="External"/><Relationship Id="rId76" Type="http://schemas.openxmlformats.org/officeDocument/2006/relationships/hyperlink" Target="https://www.law.go.kr/DRF/lawService.do?target=ordin&amp;MST=2095815&amp;type=HTML" TargetMode="External"/><Relationship Id="rId97" Type="http://schemas.openxmlformats.org/officeDocument/2006/relationships/hyperlink" Target="https://www.law.go.kr/DRF/lawService.do?target=ordin&amp;MST=2092395&amp;type=HTML" TargetMode="External"/><Relationship Id="rId104" Type="http://schemas.openxmlformats.org/officeDocument/2006/relationships/hyperlink" Target="https://www.law.go.kr/DRF/lawService.do?target=ordin&amp;MST=2164393&amp;type=HTML" TargetMode="External"/><Relationship Id="rId120" Type="http://schemas.openxmlformats.org/officeDocument/2006/relationships/hyperlink" Target="https://www.law.go.kr/DRF/lawService.do?target=ordin&amp;MST=2163925&amp;type=HTML" TargetMode="External"/><Relationship Id="rId125" Type="http://schemas.openxmlformats.org/officeDocument/2006/relationships/hyperlink" Target="https://www.law.go.kr/DRF/lawService.do?target=ordin&amp;MST=2163925&amp;type=HTML" TargetMode="External"/><Relationship Id="rId141" Type="http://schemas.openxmlformats.org/officeDocument/2006/relationships/hyperlink" Target="https://www.law.go.kr/DRF/lawService.do?target=ordin&amp;MST=2133547&amp;type=HTML" TargetMode="External"/><Relationship Id="rId146" Type="http://schemas.openxmlformats.org/officeDocument/2006/relationships/hyperlink" Target="https://www.law.go.kr/DRF/lawService.do?target=ordin&amp;MST=2133547&amp;type=HTML" TargetMode="External"/><Relationship Id="rId7" Type="http://schemas.openxmlformats.org/officeDocument/2006/relationships/hyperlink" Target="https://www.law.go.kr/DRF/lawService.do?target=ordin&amp;MST=2090475&amp;type=HTML" TargetMode="External"/><Relationship Id="rId71" Type="http://schemas.openxmlformats.org/officeDocument/2006/relationships/hyperlink" Target="https://www.law.go.kr/DRF/lawService.do?target=ordin&amp;MST=2157793&amp;type=HTML" TargetMode="External"/><Relationship Id="rId92" Type="http://schemas.openxmlformats.org/officeDocument/2006/relationships/hyperlink" Target="https://www.law.go.kr/DRF/lawService.do?target=ordin&amp;MST=2092395&amp;type=HTML" TargetMode="External"/><Relationship Id="rId2" Type="http://schemas.openxmlformats.org/officeDocument/2006/relationships/hyperlink" Target="https://www.law.go.kr/DRF/lawService.do?target=ordin&amp;MST=2099295&amp;type=HTML" TargetMode="External"/><Relationship Id="rId29" Type="http://schemas.openxmlformats.org/officeDocument/2006/relationships/hyperlink" Target="https://www.law.go.kr/DRF/lawService.do?target=ordin&amp;MST=2139799&amp;type=HTML" TargetMode="External"/><Relationship Id="rId24" Type="http://schemas.openxmlformats.org/officeDocument/2006/relationships/hyperlink" Target="https://www.law.go.kr/DRF/lawService.do?target=ordin&amp;MST=2090475&amp;type=HTML" TargetMode="External"/><Relationship Id="rId40" Type="http://schemas.openxmlformats.org/officeDocument/2006/relationships/hyperlink" Target="https://www.law.go.kr/DRF/lawService.do?target=ordin&amp;MST=2105463&amp;type=HTML" TargetMode="External"/><Relationship Id="rId45" Type="http://schemas.openxmlformats.org/officeDocument/2006/relationships/hyperlink" Target="https://www.law.go.kr/DRF/lawService.do?target=ordin&amp;MST=2105463&amp;type=HTML" TargetMode="External"/><Relationship Id="rId66" Type="http://schemas.openxmlformats.org/officeDocument/2006/relationships/hyperlink" Target="https://www.law.go.kr/DRF/lawService.do?target=ordin&amp;MST=2157793&amp;type=HTML" TargetMode="External"/><Relationship Id="rId87" Type="http://schemas.openxmlformats.org/officeDocument/2006/relationships/hyperlink" Target="https://www.law.go.kr/DRF/lawService.do?target=ordin&amp;MST=2092395&amp;type=HTML" TargetMode="External"/><Relationship Id="rId110" Type="http://schemas.openxmlformats.org/officeDocument/2006/relationships/hyperlink" Target="https://www.law.go.kr/DRF/lawService.do?target=ordin&amp;MST=2164393&amp;type=HTML" TargetMode="External"/><Relationship Id="rId115" Type="http://schemas.openxmlformats.org/officeDocument/2006/relationships/hyperlink" Target="https://www.law.go.kr/DRF/lawService.do?target=ordin&amp;MST=2155805&amp;type=HTML" TargetMode="External"/><Relationship Id="rId131" Type="http://schemas.openxmlformats.org/officeDocument/2006/relationships/hyperlink" Target="https://www.law.go.kr/DRF/lawService.do?target=ordin&amp;MST=2159767&amp;type=HTML" TargetMode="External"/><Relationship Id="rId136" Type="http://schemas.openxmlformats.org/officeDocument/2006/relationships/hyperlink" Target="https://www.law.go.kr/DRF/lawService.do?target=ordin&amp;MST=2133547&amp;type=HTML" TargetMode="External"/><Relationship Id="rId157" Type="http://schemas.openxmlformats.org/officeDocument/2006/relationships/vmlDrawing" Target="../drawings/vmlDrawing1.vml"/><Relationship Id="rId61" Type="http://schemas.openxmlformats.org/officeDocument/2006/relationships/hyperlink" Target="https://www.law.go.kr/DRF/lawService.do?target=ordin&amp;MST=1931817&amp;type=HTML" TargetMode="External"/><Relationship Id="rId82" Type="http://schemas.openxmlformats.org/officeDocument/2006/relationships/hyperlink" Target="https://www.law.go.kr/DRF/lawService.do?target=ordin&amp;MST=2095815&amp;type=HTML" TargetMode="External"/><Relationship Id="rId152" Type="http://schemas.openxmlformats.org/officeDocument/2006/relationships/hyperlink" Target="https://www.law.go.kr/DRF/lawService.do?target=ordin&amp;MST=2164649&amp;type=HTML" TargetMode="External"/><Relationship Id="rId19" Type="http://schemas.openxmlformats.org/officeDocument/2006/relationships/hyperlink" Target="https://www.law.go.kr/DRF/lawService.do?target=ordin&amp;MST=2090475&amp;type=HTML" TargetMode="External"/><Relationship Id="rId14" Type="http://schemas.openxmlformats.org/officeDocument/2006/relationships/hyperlink" Target="https://www.law.go.kr/DRF/lawService.do?target=ordin&amp;MST=2090475&amp;type=HTML" TargetMode="External"/><Relationship Id="rId30" Type="http://schemas.openxmlformats.org/officeDocument/2006/relationships/hyperlink" Target="https://www.law.go.kr/DRF/lawService.do?target=ordin&amp;MST=2105463&amp;type=HTML" TargetMode="External"/><Relationship Id="rId35" Type="http://schemas.openxmlformats.org/officeDocument/2006/relationships/hyperlink" Target="https://www.law.go.kr/DRF/lawService.do?target=ordin&amp;MST=2105463&amp;type=HTML" TargetMode="External"/><Relationship Id="rId56" Type="http://schemas.openxmlformats.org/officeDocument/2006/relationships/hyperlink" Target="https://www.law.go.kr/DRF/lawService.do?target=ordin&amp;MST=1931817&amp;type=HTML" TargetMode="External"/><Relationship Id="rId77" Type="http://schemas.openxmlformats.org/officeDocument/2006/relationships/hyperlink" Target="https://www.law.go.kr/DRF/lawService.do?target=ordin&amp;MST=2095815&amp;type=HTML" TargetMode="External"/><Relationship Id="rId100" Type="http://schemas.openxmlformats.org/officeDocument/2006/relationships/hyperlink" Target="https://www.law.go.kr/DRF/lawService.do?target=ordin&amp;MST=2158147&amp;type=HTML" TargetMode="External"/><Relationship Id="rId105" Type="http://schemas.openxmlformats.org/officeDocument/2006/relationships/hyperlink" Target="https://www.law.go.kr/DRF/lawService.do?target=ordin&amp;MST=2164393&amp;type=HTML" TargetMode="External"/><Relationship Id="rId126" Type="http://schemas.openxmlformats.org/officeDocument/2006/relationships/hyperlink" Target="https://www.law.go.kr/DRF/lawService.do?target=ordin&amp;MST=2163925&amp;type=HTML" TargetMode="External"/><Relationship Id="rId147" Type="http://schemas.openxmlformats.org/officeDocument/2006/relationships/hyperlink" Target="https://www.law.go.kr/DRF/lawService.do?target=ordin&amp;MST=2133547&amp;type=HTML" TargetMode="External"/><Relationship Id="rId8" Type="http://schemas.openxmlformats.org/officeDocument/2006/relationships/hyperlink" Target="https://www.law.go.kr/DRF/lawService.do?target=ordin&amp;MST=2090475&amp;type=HTML" TargetMode="External"/><Relationship Id="rId51" Type="http://schemas.openxmlformats.org/officeDocument/2006/relationships/hyperlink" Target="https://www.law.go.kr/DRF/lawService.do?target=ordin&amp;MST=2159961&amp;type=HTML" TargetMode="External"/><Relationship Id="rId72" Type="http://schemas.openxmlformats.org/officeDocument/2006/relationships/hyperlink" Target="https://www.law.go.kr/DRF/lawService.do?target=ordin&amp;MST=2157793&amp;type=HTML" TargetMode="External"/><Relationship Id="rId93" Type="http://schemas.openxmlformats.org/officeDocument/2006/relationships/hyperlink" Target="https://www.law.go.kr/DRF/lawService.do?target=ordin&amp;MST=2092395&amp;type=HTML" TargetMode="External"/><Relationship Id="rId98" Type="http://schemas.openxmlformats.org/officeDocument/2006/relationships/hyperlink" Target="https://www.law.go.kr/DRF/lawService.do?target=ordin&amp;MST=2092395&amp;type=HTML" TargetMode="External"/><Relationship Id="rId121" Type="http://schemas.openxmlformats.org/officeDocument/2006/relationships/hyperlink" Target="https://www.law.go.kr/DRF/lawService.do?target=ordin&amp;MST=2163925&amp;type=HTML" TargetMode="External"/><Relationship Id="rId142" Type="http://schemas.openxmlformats.org/officeDocument/2006/relationships/hyperlink" Target="https://www.law.go.kr/DRF/lawService.do?target=ordin&amp;MST=2133547&amp;type=HTML" TargetMode="External"/><Relationship Id="rId3" Type="http://schemas.openxmlformats.org/officeDocument/2006/relationships/hyperlink" Target="https://www.law.go.kr/DRF/lawService.do?target=ordin&amp;MST=2099295&amp;type=HTML" TargetMode="External"/><Relationship Id="rId25" Type="http://schemas.openxmlformats.org/officeDocument/2006/relationships/hyperlink" Target="https://www.law.go.kr/DRF/lawService.do?target=ordin&amp;MST=2090475&amp;type=HTML" TargetMode="External"/><Relationship Id="rId46" Type="http://schemas.openxmlformats.org/officeDocument/2006/relationships/hyperlink" Target="https://www.law.go.kr/DRF/lawService.do?target=ordin&amp;MST=2159603&amp;type=HTML" TargetMode="External"/><Relationship Id="rId67" Type="http://schemas.openxmlformats.org/officeDocument/2006/relationships/hyperlink" Target="https://www.law.go.kr/DRF/lawService.do?target=ordin&amp;MST=2157793&amp;type=HTML" TargetMode="External"/><Relationship Id="rId116" Type="http://schemas.openxmlformats.org/officeDocument/2006/relationships/hyperlink" Target="https://www.law.go.kr/DRF/lawService.do?target=ordin&amp;MST=2155805&amp;type=HTML" TargetMode="External"/><Relationship Id="rId137" Type="http://schemas.openxmlformats.org/officeDocument/2006/relationships/hyperlink" Target="https://www.law.go.kr/DRF/lawService.do?target=ordin&amp;MST=2133547&amp;type=HTML" TargetMode="External"/><Relationship Id="rId158" Type="http://schemas.openxmlformats.org/officeDocument/2006/relationships/comments" Target="../comments1.xml"/><Relationship Id="rId20" Type="http://schemas.openxmlformats.org/officeDocument/2006/relationships/hyperlink" Target="https://www.law.go.kr/DRF/lawService.do?target=ordin&amp;MST=2090475&amp;type=HTML" TargetMode="External"/><Relationship Id="rId41" Type="http://schemas.openxmlformats.org/officeDocument/2006/relationships/hyperlink" Target="https://www.law.go.kr/DRF/lawService.do?target=ordin&amp;MST=2105463&amp;type=HTML" TargetMode="External"/><Relationship Id="rId62" Type="http://schemas.openxmlformats.org/officeDocument/2006/relationships/hyperlink" Target="https://www.law.go.kr/DRF/lawService.do?target=ordin&amp;MST=1931817&amp;type=HTML" TargetMode="External"/><Relationship Id="rId83" Type="http://schemas.openxmlformats.org/officeDocument/2006/relationships/hyperlink" Target="https://www.law.go.kr/DRF/lawService.do?target=ordin&amp;MST=2095815&amp;type=HTML" TargetMode="External"/><Relationship Id="rId88" Type="http://schemas.openxmlformats.org/officeDocument/2006/relationships/hyperlink" Target="https://www.law.go.kr/DRF/lawService.do?target=ordin&amp;MST=2092395&amp;type=HTML" TargetMode="External"/><Relationship Id="rId111" Type="http://schemas.openxmlformats.org/officeDocument/2006/relationships/hyperlink" Target="https://www.law.go.kr/DRF/lawService.do?target=ordin&amp;MST=2164393&amp;type=HTML" TargetMode="External"/><Relationship Id="rId132" Type="http://schemas.openxmlformats.org/officeDocument/2006/relationships/hyperlink" Target="https://www.law.go.kr/DRF/lawService.do?target=ordin&amp;MST=2159767&amp;type=HTML" TargetMode="External"/><Relationship Id="rId153" Type="http://schemas.openxmlformats.org/officeDocument/2006/relationships/hyperlink" Target="https://www.law.go.kr/DRF/lawService.do?target=ordin&amp;MST=2164649&amp;type=HTML" TargetMode="External"/><Relationship Id="rId15" Type="http://schemas.openxmlformats.org/officeDocument/2006/relationships/hyperlink" Target="https://www.law.go.kr/DRF/lawService.do?target=ordin&amp;MST=2090475&amp;type=HTML" TargetMode="External"/><Relationship Id="rId36" Type="http://schemas.openxmlformats.org/officeDocument/2006/relationships/hyperlink" Target="https://www.law.go.kr/DRF/lawService.do?target=ordin&amp;MST=2105463&amp;type=HTML" TargetMode="External"/><Relationship Id="rId57" Type="http://schemas.openxmlformats.org/officeDocument/2006/relationships/hyperlink" Target="https://www.law.go.kr/DRF/lawService.do?target=ordin&amp;MST=1931817&amp;type=HTML" TargetMode="External"/><Relationship Id="rId106" Type="http://schemas.openxmlformats.org/officeDocument/2006/relationships/hyperlink" Target="https://www.law.go.kr/DRF/lawService.do?target=ordin&amp;MST=2164393&amp;type=HTML" TargetMode="External"/><Relationship Id="rId127" Type="http://schemas.openxmlformats.org/officeDocument/2006/relationships/hyperlink" Target="https://www.law.go.kr/DRF/lawService.do?target=ordin&amp;MST=2159767&amp;type=HTML" TargetMode="External"/><Relationship Id="rId10" Type="http://schemas.openxmlformats.org/officeDocument/2006/relationships/hyperlink" Target="https://www.law.go.kr/DRF/lawService.do?target=ordin&amp;MST=2090475&amp;type=HTML" TargetMode="External"/><Relationship Id="rId31" Type="http://schemas.openxmlformats.org/officeDocument/2006/relationships/hyperlink" Target="https://www.law.go.kr/DRF/lawService.do?target=ordin&amp;MST=2105463&amp;type=HTML" TargetMode="External"/><Relationship Id="rId52" Type="http://schemas.openxmlformats.org/officeDocument/2006/relationships/hyperlink" Target="https://www.law.go.kr/DRF/lawService.do?target=ordin&amp;MST=2159961&amp;type=HTML" TargetMode="External"/><Relationship Id="rId73" Type="http://schemas.openxmlformats.org/officeDocument/2006/relationships/hyperlink" Target="https://www.law.go.kr/DRF/lawService.do?target=ordin&amp;MST=2157793&amp;type=HTML" TargetMode="External"/><Relationship Id="rId78" Type="http://schemas.openxmlformats.org/officeDocument/2006/relationships/hyperlink" Target="https://www.law.go.kr/DRF/lawService.do?target=ordin&amp;MST=2095815&amp;type=HTML" TargetMode="External"/><Relationship Id="rId94" Type="http://schemas.openxmlformats.org/officeDocument/2006/relationships/hyperlink" Target="https://www.law.go.kr/DRF/lawService.do?target=ordin&amp;MST=2092395&amp;type=HTML" TargetMode="External"/><Relationship Id="rId99" Type="http://schemas.openxmlformats.org/officeDocument/2006/relationships/hyperlink" Target="https://www.law.go.kr/DRF/lawService.do?target=ordin&amp;MST=2158147&amp;type=HTML" TargetMode="External"/><Relationship Id="rId101" Type="http://schemas.openxmlformats.org/officeDocument/2006/relationships/hyperlink" Target="https://www.law.go.kr/DRF/lawService.do?target=ordin&amp;MST=2164393&amp;type=HTML" TargetMode="External"/><Relationship Id="rId122" Type="http://schemas.openxmlformats.org/officeDocument/2006/relationships/hyperlink" Target="https://www.law.go.kr/DRF/lawService.do?target=ordin&amp;MST=2163925&amp;type=HTML" TargetMode="External"/><Relationship Id="rId143" Type="http://schemas.openxmlformats.org/officeDocument/2006/relationships/hyperlink" Target="https://www.law.go.kr/DRF/lawService.do?target=ordin&amp;MST=2133547&amp;type=HTML" TargetMode="External"/><Relationship Id="rId148" Type="http://schemas.openxmlformats.org/officeDocument/2006/relationships/hyperlink" Target="https://www.law.go.kr/DRF/lawService.do?target=ordin&amp;MST=2133547&amp;type=HTML" TargetMode="External"/><Relationship Id="rId4" Type="http://schemas.openxmlformats.org/officeDocument/2006/relationships/hyperlink" Target="https://www.law.go.kr/DRF/lawService.do?target=ordin&amp;MST=2099295&amp;type=HTML" TargetMode="External"/><Relationship Id="rId9" Type="http://schemas.openxmlformats.org/officeDocument/2006/relationships/hyperlink" Target="https://www.law.go.kr/DRF/lawService.do?target=ordin&amp;MST=2090475&amp;type=HTML" TargetMode="External"/><Relationship Id="rId26" Type="http://schemas.openxmlformats.org/officeDocument/2006/relationships/hyperlink" Target="https://www.law.go.kr/DRF/lawService.do?target=ordin&amp;MST=2139799&amp;type=HTML" TargetMode="External"/><Relationship Id="rId47" Type="http://schemas.openxmlformats.org/officeDocument/2006/relationships/hyperlink" Target="https://www.law.go.kr/DRF/lawService.do?target=ordin&amp;MST=2159603&amp;type=HTML" TargetMode="External"/><Relationship Id="rId68" Type="http://schemas.openxmlformats.org/officeDocument/2006/relationships/hyperlink" Target="https://www.law.go.kr/DRF/lawService.do?target=ordin&amp;MST=2157793&amp;type=HTML" TargetMode="External"/><Relationship Id="rId89" Type="http://schemas.openxmlformats.org/officeDocument/2006/relationships/hyperlink" Target="https://www.law.go.kr/DRF/lawService.do?target=ordin&amp;MST=2092395&amp;type=HTML" TargetMode="External"/><Relationship Id="rId112" Type="http://schemas.openxmlformats.org/officeDocument/2006/relationships/hyperlink" Target="https://www.law.go.kr/DRF/lawService.do?target=ordin&amp;MST=2164393&amp;type=HTML" TargetMode="External"/><Relationship Id="rId133" Type="http://schemas.openxmlformats.org/officeDocument/2006/relationships/hyperlink" Target="https://www.law.go.kr/DRF/lawService.do?target=ordin&amp;MST=2159767&amp;type=HTML" TargetMode="External"/><Relationship Id="rId154" Type="http://schemas.openxmlformats.org/officeDocument/2006/relationships/hyperlink" Target="https://www.law.go.kr/DRF/lawService.do?target=ordin&amp;MST=2164649&amp;type=HTML" TargetMode="External"/><Relationship Id="rId16" Type="http://schemas.openxmlformats.org/officeDocument/2006/relationships/hyperlink" Target="https://www.law.go.kr/DRF/lawService.do?target=ordin&amp;MST=2090475&amp;type=HTML" TargetMode="External"/><Relationship Id="rId37" Type="http://schemas.openxmlformats.org/officeDocument/2006/relationships/hyperlink" Target="https://www.law.go.kr/DRF/lawService.do?target=ordin&amp;MST=2105463&amp;type=HTML" TargetMode="External"/><Relationship Id="rId58" Type="http://schemas.openxmlformats.org/officeDocument/2006/relationships/hyperlink" Target="https://www.law.go.kr/DRF/lawService.do?target=ordin&amp;MST=1931817&amp;type=HTML" TargetMode="External"/><Relationship Id="rId79" Type="http://schemas.openxmlformats.org/officeDocument/2006/relationships/hyperlink" Target="https://www.law.go.kr/DRF/lawService.do?target=ordin&amp;MST=2095815&amp;type=HTML" TargetMode="External"/><Relationship Id="rId102" Type="http://schemas.openxmlformats.org/officeDocument/2006/relationships/hyperlink" Target="https://www.law.go.kr/DRF/lawService.do?target=ordin&amp;MST=2164393&amp;type=HTML" TargetMode="External"/><Relationship Id="rId123" Type="http://schemas.openxmlformats.org/officeDocument/2006/relationships/hyperlink" Target="https://www.law.go.kr/DRF/lawService.do?target=ordin&amp;MST=2163925&amp;type=HTML" TargetMode="External"/><Relationship Id="rId144" Type="http://schemas.openxmlformats.org/officeDocument/2006/relationships/hyperlink" Target="https://www.law.go.kr/DRF/lawService.do?target=ordin&amp;MST=2133547&amp;type=HTML" TargetMode="External"/><Relationship Id="rId90" Type="http://schemas.openxmlformats.org/officeDocument/2006/relationships/hyperlink" Target="https://www.law.go.kr/DRF/lawService.do?target=ordin&amp;MST=2092395&amp;type=HTML" TargetMode="External"/><Relationship Id="rId27" Type="http://schemas.openxmlformats.org/officeDocument/2006/relationships/hyperlink" Target="https://www.law.go.kr/DRF/lawService.do?target=ordin&amp;MST=2139799&amp;type=HTML" TargetMode="External"/><Relationship Id="rId48" Type="http://schemas.openxmlformats.org/officeDocument/2006/relationships/hyperlink" Target="https://www.law.go.kr/DRF/lawService.do?target=ordin&amp;MST=2159603&amp;type=HTML" TargetMode="External"/><Relationship Id="rId69" Type="http://schemas.openxmlformats.org/officeDocument/2006/relationships/hyperlink" Target="https://www.law.go.kr/DRF/lawService.do?target=ordin&amp;MST=2157793&amp;type=HTML" TargetMode="External"/><Relationship Id="rId113" Type="http://schemas.openxmlformats.org/officeDocument/2006/relationships/hyperlink" Target="https://www.law.go.kr/DRF/lawService.do?target=ordin&amp;MST=2155805&amp;type=HTML" TargetMode="External"/><Relationship Id="rId134" Type="http://schemas.openxmlformats.org/officeDocument/2006/relationships/hyperlink" Target="https://www.law.go.kr/DRF/lawService.do?target=ordin&amp;MST=2159767&amp;type=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aw.go.kr/DRF/lawService.do?target=ordin&amp;MST=2103137&amp;typ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5"/>
  <sheetViews>
    <sheetView workbookViewId="0"/>
  </sheetViews>
  <sheetFormatPr defaultRowHeight="17.399999999999999" x14ac:dyDescent="0.4"/>
  <cols>
    <col min="1" max="1" width="3" customWidth="1"/>
    <col min="2" max="2" width="22" customWidth="1"/>
    <col min="3" max="3" width="92" customWidth="1"/>
  </cols>
  <sheetData>
    <row r="2" spans="2:3" ht="21" x14ac:dyDescent="0.45">
      <c r="B2" s="1" t="s">
        <v>0</v>
      </c>
    </row>
    <row r="3" spans="2:3" x14ac:dyDescent="0.4">
      <c r="B3" s="2" t="s">
        <v>212</v>
      </c>
    </row>
    <row r="5" spans="2:3" x14ac:dyDescent="0.4">
      <c r="B5" s="3" t="s">
        <v>213</v>
      </c>
    </row>
    <row r="6" spans="2:3" ht="30" customHeight="1" x14ac:dyDescent="0.4">
      <c r="B6" s="4" t="s">
        <v>214</v>
      </c>
      <c r="C6" s="5" t="s">
        <v>215</v>
      </c>
    </row>
    <row r="7" spans="2:3" ht="30" customHeight="1" x14ac:dyDescent="0.4">
      <c r="B7" s="4" t="s">
        <v>216</v>
      </c>
      <c r="C7" s="5" t="s">
        <v>217</v>
      </c>
    </row>
    <row r="9" spans="2:3" x14ac:dyDescent="0.4">
      <c r="B9" s="3" t="s">
        <v>218</v>
      </c>
    </row>
    <row r="10" spans="2:3" ht="15" customHeight="1" x14ac:dyDescent="0.4">
      <c r="B10" s="4" t="s">
        <v>219</v>
      </c>
      <c r="C10" s="5" t="s">
        <v>220</v>
      </c>
    </row>
    <row r="11" spans="2:3" ht="15" customHeight="1" x14ac:dyDescent="0.4">
      <c r="B11" s="4" t="s">
        <v>221</v>
      </c>
      <c r="C11" s="5" t="s">
        <v>222</v>
      </c>
    </row>
    <row r="12" spans="2:3" ht="15" customHeight="1" x14ac:dyDescent="0.4">
      <c r="B12" s="4" t="s">
        <v>223</v>
      </c>
      <c r="C12" s="5" t="s">
        <v>224</v>
      </c>
    </row>
    <row r="13" spans="2:3" ht="15" customHeight="1" x14ac:dyDescent="0.4">
      <c r="B13" s="4" t="s">
        <v>225</v>
      </c>
      <c r="C13" s="5" t="s">
        <v>226</v>
      </c>
    </row>
    <row r="14" spans="2:3" ht="15" customHeight="1" x14ac:dyDescent="0.4">
      <c r="B14" s="4" t="s">
        <v>227</v>
      </c>
      <c r="C14" s="5" t="s">
        <v>228</v>
      </c>
    </row>
    <row r="16" spans="2:3" x14ac:dyDescent="0.4">
      <c r="B16" s="3" t="s">
        <v>229</v>
      </c>
    </row>
    <row r="17" spans="2:3" ht="30" customHeight="1" x14ac:dyDescent="0.4">
      <c r="B17" s="4" t="s">
        <v>230</v>
      </c>
      <c r="C17" s="5" t="s">
        <v>231</v>
      </c>
    </row>
    <row r="18" spans="2:3" ht="15" customHeight="1" x14ac:dyDescent="0.4">
      <c r="B18" s="4" t="s">
        <v>232</v>
      </c>
      <c r="C18" s="5" t="s">
        <v>233</v>
      </c>
    </row>
    <row r="20" spans="2:3" x14ac:dyDescent="0.4">
      <c r="B20" s="3" t="s">
        <v>234</v>
      </c>
    </row>
    <row r="21" spans="2:3" ht="60" customHeight="1" x14ac:dyDescent="0.4">
      <c r="B21" s="4" t="s">
        <v>235</v>
      </c>
      <c r="C21" s="5" t="s">
        <v>236</v>
      </c>
    </row>
    <row r="22" spans="2:3" ht="30" customHeight="1" x14ac:dyDescent="0.4">
      <c r="B22" s="4" t="s">
        <v>237</v>
      </c>
      <c r="C22" s="5" t="s">
        <v>238</v>
      </c>
    </row>
    <row r="24" spans="2:3" x14ac:dyDescent="0.4">
      <c r="B24" s="3" t="s">
        <v>239</v>
      </c>
    </row>
    <row r="25" spans="2:3" ht="45" customHeight="1" x14ac:dyDescent="0.4">
      <c r="B25" s="4" t="s">
        <v>240</v>
      </c>
      <c r="C25" s="5" t="s">
        <v>241</v>
      </c>
    </row>
  </sheetData>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59"/>
  <sheetViews>
    <sheetView tabSelected="1" workbookViewId="0">
      <pane xSplit="5" ySplit="3" topLeftCell="F4" activePane="bottomRight" state="frozen"/>
      <selection pane="topRight"/>
      <selection pane="bottomLeft"/>
      <selection pane="bottomRight"/>
    </sheetView>
  </sheetViews>
  <sheetFormatPr defaultRowHeight="17.399999999999999" x14ac:dyDescent="0.4"/>
  <cols>
    <col min="1" max="1" width="6" customWidth="1"/>
    <col min="2" max="3" width="9" customWidth="1"/>
    <col min="4" max="4" width="8" customWidth="1"/>
    <col min="5" max="5" width="12" customWidth="1"/>
    <col min="6" max="6" width="11" customWidth="1"/>
    <col min="7" max="7" width="9" customWidth="1"/>
    <col min="8" max="8" width="18" customWidth="1"/>
    <col min="9" max="9" width="17" customWidth="1"/>
    <col min="10" max="10" width="11" customWidth="1"/>
    <col min="11" max="11" width="62" customWidth="1"/>
    <col min="12" max="12" width="9" customWidth="1"/>
    <col min="13" max="13" width="11" customWidth="1"/>
    <col min="14" max="14" width="9" customWidth="1"/>
    <col min="15" max="15" width="11" customWidth="1"/>
    <col min="16" max="17" width="9" customWidth="1"/>
    <col min="18" max="18" width="11" customWidth="1"/>
    <col min="19" max="19" width="22" customWidth="1"/>
    <col min="20" max="20" width="8" customWidth="1"/>
  </cols>
  <sheetData>
    <row r="1" spans="1:20" ht="21" x14ac:dyDescent="0.45">
      <c r="A1" s="1" t="s">
        <v>0</v>
      </c>
    </row>
    <row r="2" spans="1:20" x14ac:dyDescent="0.4">
      <c r="A2" s="2" t="s">
        <v>1</v>
      </c>
    </row>
    <row r="3" spans="1:20" ht="31.95" customHeight="1" x14ac:dyDescent="0.4">
      <c r="A3" s="6" t="s">
        <v>2</v>
      </c>
      <c r="B3" s="6" t="s">
        <v>3</v>
      </c>
      <c r="C3" s="6" t="s">
        <v>4</v>
      </c>
      <c r="D3" s="6" t="s">
        <v>5</v>
      </c>
      <c r="E3" s="6" t="s">
        <v>6</v>
      </c>
      <c r="F3" s="6" t="s">
        <v>7</v>
      </c>
      <c r="G3" s="6" t="s">
        <v>8</v>
      </c>
      <c r="H3" s="6" t="s">
        <v>9</v>
      </c>
      <c r="I3" s="6" t="s">
        <v>10</v>
      </c>
      <c r="J3" s="6" t="s">
        <v>11</v>
      </c>
      <c r="K3" s="6" t="s">
        <v>12</v>
      </c>
      <c r="L3" s="6" t="s">
        <v>13</v>
      </c>
      <c r="M3" s="7" t="s">
        <v>14</v>
      </c>
      <c r="N3" s="7" t="s">
        <v>15</v>
      </c>
      <c r="O3" s="7" t="s">
        <v>16</v>
      </c>
      <c r="P3" s="7" t="s">
        <v>17</v>
      </c>
      <c r="Q3" s="7" t="s">
        <v>18</v>
      </c>
      <c r="R3" s="7" t="s">
        <v>19</v>
      </c>
      <c r="S3" s="7" t="s">
        <v>20</v>
      </c>
      <c r="T3" s="6" t="s">
        <v>21</v>
      </c>
    </row>
    <row r="4" spans="1:20" ht="15" customHeight="1" x14ac:dyDescent="0.4">
      <c r="A4" s="8">
        <v>1</v>
      </c>
      <c r="B4" s="9" t="s">
        <v>22</v>
      </c>
      <c r="C4" s="8" t="s">
        <v>23</v>
      </c>
      <c r="D4" s="8" t="s">
        <v>24</v>
      </c>
      <c r="E4" s="9" t="s">
        <v>25</v>
      </c>
      <c r="F4" s="8">
        <v>100</v>
      </c>
      <c r="G4" s="8"/>
      <c r="H4" s="9"/>
      <c r="I4" s="9" t="s">
        <v>26</v>
      </c>
      <c r="J4" s="9" t="s">
        <v>27</v>
      </c>
      <c r="K4" s="9" t="s">
        <v>28</v>
      </c>
      <c r="L4" s="10" t="s">
        <v>29</v>
      </c>
      <c r="M4" s="11"/>
      <c r="N4" s="11"/>
      <c r="O4" s="12"/>
      <c r="P4" s="11"/>
      <c r="Q4" s="13"/>
      <c r="R4" s="12"/>
      <c r="S4" s="13"/>
      <c r="T4" s="8" t="str">
        <f t="shared" ref="T4:T35" si="0">IF(M4="","",IF(M4=F4,"일치","변경"))</f>
        <v/>
      </c>
    </row>
    <row r="5" spans="1:20" ht="30" customHeight="1" x14ac:dyDescent="0.4">
      <c r="A5" s="14">
        <v>2</v>
      </c>
      <c r="B5" s="15" t="s">
        <v>22</v>
      </c>
      <c r="C5" s="14" t="s">
        <v>23</v>
      </c>
      <c r="D5" s="14" t="s">
        <v>24</v>
      </c>
      <c r="E5" s="15" t="s">
        <v>30</v>
      </c>
      <c r="F5" s="14">
        <v>100</v>
      </c>
      <c r="G5" s="14"/>
      <c r="H5" s="15" t="s">
        <v>31</v>
      </c>
      <c r="I5" s="15" t="s">
        <v>26</v>
      </c>
      <c r="J5" s="15" t="s">
        <v>27</v>
      </c>
      <c r="K5" s="15" t="s">
        <v>32</v>
      </c>
      <c r="L5" s="16" t="s">
        <v>29</v>
      </c>
      <c r="M5" s="11"/>
      <c r="N5" s="11"/>
      <c r="O5" s="12"/>
      <c r="P5" s="11"/>
      <c r="Q5" s="13"/>
      <c r="R5" s="12"/>
      <c r="S5" s="13"/>
      <c r="T5" s="14" t="str">
        <f t="shared" si="0"/>
        <v/>
      </c>
    </row>
    <row r="6" spans="1:20" ht="30" customHeight="1" x14ac:dyDescent="0.4">
      <c r="A6" s="8">
        <v>3</v>
      </c>
      <c r="B6" s="9" t="s">
        <v>22</v>
      </c>
      <c r="C6" s="8" t="s">
        <v>23</v>
      </c>
      <c r="D6" s="8" t="s">
        <v>24</v>
      </c>
      <c r="E6" s="9" t="s">
        <v>33</v>
      </c>
      <c r="F6" s="8">
        <v>100</v>
      </c>
      <c r="G6" s="8"/>
      <c r="H6" s="9"/>
      <c r="I6" s="9" t="s">
        <v>26</v>
      </c>
      <c r="J6" s="9" t="s">
        <v>27</v>
      </c>
      <c r="K6" s="9" t="s">
        <v>34</v>
      </c>
      <c r="L6" s="10" t="s">
        <v>29</v>
      </c>
      <c r="M6" s="11"/>
      <c r="N6" s="11"/>
      <c r="O6" s="12"/>
      <c r="P6" s="11"/>
      <c r="Q6" s="13"/>
      <c r="R6" s="12"/>
      <c r="S6" s="13"/>
      <c r="T6" s="8" t="str">
        <f t="shared" si="0"/>
        <v/>
      </c>
    </row>
    <row r="7" spans="1:20" ht="15" customHeight="1" x14ac:dyDescent="0.4">
      <c r="A7" s="17">
        <v>4</v>
      </c>
      <c r="B7" s="18" t="s">
        <v>22</v>
      </c>
      <c r="C7" s="17" t="s">
        <v>23</v>
      </c>
      <c r="D7" s="17" t="s">
        <v>24</v>
      </c>
      <c r="E7" s="18" t="s">
        <v>35</v>
      </c>
      <c r="F7" s="17">
        <v>100</v>
      </c>
      <c r="G7" s="17"/>
      <c r="H7" s="18"/>
      <c r="I7" s="18" t="s">
        <v>26</v>
      </c>
      <c r="J7" s="18" t="s">
        <v>27</v>
      </c>
      <c r="K7" s="18" t="s">
        <v>36</v>
      </c>
      <c r="L7" s="19" t="s">
        <v>29</v>
      </c>
      <c r="M7" s="11"/>
      <c r="N7" s="11"/>
      <c r="O7" s="12"/>
      <c r="P7" s="11"/>
      <c r="Q7" s="13"/>
      <c r="R7" s="12"/>
      <c r="S7" s="13"/>
      <c r="T7" s="17" t="str">
        <f t="shared" si="0"/>
        <v/>
      </c>
    </row>
    <row r="8" spans="1:20" ht="30" customHeight="1" x14ac:dyDescent="0.4">
      <c r="A8" s="8">
        <v>5</v>
      </c>
      <c r="B8" s="9" t="s">
        <v>22</v>
      </c>
      <c r="C8" s="8" t="s">
        <v>23</v>
      </c>
      <c r="D8" s="8" t="s">
        <v>24</v>
      </c>
      <c r="E8" s="9" t="s">
        <v>37</v>
      </c>
      <c r="F8" s="8">
        <v>100</v>
      </c>
      <c r="G8" s="8">
        <v>10</v>
      </c>
      <c r="H8" s="9"/>
      <c r="I8" s="9" t="s">
        <v>26</v>
      </c>
      <c r="J8" s="9" t="s">
        <v>27</v>
      </c>
      <c r="K8" s="9" t="s">
        <v>38</v>
      </c>
      <c r="L8" s="10" t="s">
        <v>29</v>
      </c>
      <c r="M8" s="11"/>
      <c r="N8" s="11"/>
      <c r="O8" s="12"/>
      <c r="P8" s="11"/>
      <c r="Q8" s="13"/>
      <c r="R8" s="12"/>
      <c r="S8" s="13"/>
      <c r="T8" s="8" t="str">
        <f t="shared" si="0"/>
        <v/>
      </c>
    </row>
    <row r="9" spans="1:20" ht="30" customHeight="1" x14ac:dyDescent="0.4">
      <c r="A9" s="17">
        <v>6</v>
      </c>
      <c r="B9" s="18" t="s">
        <v>39</v>
      </c>
      <c r="C9" s="17" t="s">
        <v>40</v>
      </c>
      <c r="D9" s="17" t="s">
        <v>41</v>
      </c>
      <c r="E9" s="18" t="s">
        <v>42</v>
      </c>
      <c r="F9" s="17">
        <v>1500</v>
      </c>
      <c r="G9" s="17"/>
      <c r="H9" s="18"/>
      <c r="I9" s="18" t="s">
        <v>43</v>
      </c>
      <c r="J9" s="18" t="s">
        <v>44</v>
      </c>
      <c r="K9" s="18" t="s">
        <v>45</v>
      </c>
      <c r="L9" s="19" t="s">
        <v>29</v>
      </c>
      <c r="M9" s="11"/>
      <c r="N9" s="11"/>
      <c r="O9" s="12"/>
      <c r="P9" s="11"/>
      <c r="Q9" s="13"/>
      <c r="R9" s="12"/>
      <c r="S9" s="13"/>
      <c r="T9" s="17" t="str">
        <f t="shared" si="0"/>
        <v/>
      </c>
    </row>
    <row r="10" spans="1:20" ht="15" customHeight="1" x14ac:dyDescent="0.4">
      <c r="A10" s="8">
        <v>7</v>
      </c>
      <c r="B10" s="9" t="s">
        <v>39</v>
      </c>
      <c r="C10" s="8" t="s">
        <v>40</v>
      </c>
      <c r="D10" s="8" t="s">
        <v>41</v>
      </c>
      <c r="E10" s="9" t="s">
        <v>30</v>
      </c>
      <c r="F10" s="8">
        <v>300</v>
      </c>
      <c r="G10" s="8"/>
      <c r="H10" s="9"/>
      <c r="I10" s="9" t="s">
        <v>43</v>
      </c>
      <c r="J10" s="9" t="s">
        <v>44</v>
      </c>
      <c r="K10" s="9" t="s">
        <v>46</v>
      </c>
      <c r="L10" s="10" t="s">
        <v>29</v>
      </c>
      <c r="M10" s="11"/>
      <c r="N10" s="11"/>
      <c r="O10" s="12"/>
      <c r="P10" s="11"/>
      <c r="Q10" s="13"/>
      <c r="R10" s="12"/>
      <c r="S10" s="13"/>
      <c r="T10" s="8" t="str">
        <f t="shared" si="0"/>
        <v/>
      </c>
    </row>
    <row r="11" spans="1:20" ht="15" customHeight="1" x14ac:dyDescent="0.4">
      <c r="A11" s="17">
        <v>8</v>
      </c>
      <c r="B11" s="18" t="s">
        <v>39</v>
      </c>
      <c r="C11" s="17" t="s">
        <v>40</v>
      </c>
      <c r="D11" s="17" t="s">
        <v>41</v>
      </c>
      <c r="E11" s="18" t="s">
        <v>30</v>
      </c>
      <c r="F11" s="17">
        <v>200</v>
      </c>
      <c r="G11" s="17"/>
      <c r="H11" s="18"/>
      <c r="I11" s="18" t="s">
        <v>43</v>
      </c>
      <c r="J11" s="18" t="s">
        <v>44</v>
      </c>
      <c r="K11" s="18" t="s">
        <v>47</v>
      </c>
      <c r="L11" s="19" t="s">
        <v>29</v>
      </c>
      <c r="M11" s="11"/>
      <c r="N11" s="11"/>
      <c r="O11" s="12"/>
      <c r="P11" s="11"/>
      <c r="Q11" s="13"/>
      <c r="R11" s="12"/>
      <c r="S11" s="13"/>
      <c r="T11" s="17" t="str">
        <f t="shared" si="0"/>
        <v/>
      </c>
    </row>
    <row r="12" spans="1:20" ht="15" customHeight="1" x14ac:dyDescent="0.4">
      <c r="A12" s="8">
        <v>9</v>
      </c>
      <c r="B12" s="9" t="s">
        <v>39</v>
      </c>
      <c r="C12" s="8" t="s">
        <v>40</v>
      </c>
      <c r="D12" s="8" t="s">
        <v>41</v>
      </c>
      <c r="E12" s="9" t="s">
        <v>30</v>
      </c>
      <c r="F12" s="8">
        <v>100</v>
      </c>
      <c r="G12" s="8"/>
      <c r="H12" s="9"/>
      <c r="I12" s="9" t="s">
        <v>43</v>
      </c>
      <c r="J12" s="9" t="s">
        <v>44</v>
      </c>
      <c r="K12" s="9" t="s">
        <v>48</v>
      </c>
      <c r="L12" s="10" t="s">
        <v>29</v>
      </c>
      <c r="M12" s="11"/>
      <c r="N12" s="11"/>
      <c r="O12" s="12"/>
      <c r="P12" s="11"/>
      <c r="Q12" s="13"/>
      <c r="R12" s="12"/>
      <c r="S12" s="13"/>
      <c r="T12" s="8" t="str">
        <f t="shared" si="0"/>
        <v/>
      </c>
    </row>
    <row r="13" spans="1:20" ht="30" customHeight="1" x14ac:dyDescent="0.4">
      <c r="A13" s="17">
        <v>10</v>
      </c>
      <c r="B13" s="18" t="s">
        <v>39</v>
      </c>
      <c r="C13" s="17" t="s">
        <v>40</v>
      </c>
      <c r="D13" s="17" t="s">
        <v>41</v>
      </c>
      <c r="E13" s="18" t="s">
        <v>49</v>
      </c>
      <c r="F13" s="17">
        <v>1500</v>
      </c>
      <c r="G13" s="17"/>
      <c r="H13" s="18"/>
      <c r="I13" s="18" t="s">
        <v>43</v>
      </c>
      <c r="J13" s="18" t="s">
        <v>44</v>
      </c>
      <c r="K13" s="18" t="s">
        <v>50</v>
      </c>
      <c r="L13" s="19" t="s">
        <v>29</v>
      </c>
      <c r="M13" s="11"/>
      <c r="N13" s="11"/>
      <c r="O13" s="12"/>
      <c r="P13" s="11"/>
      <c r="Q13" s="13"/>
      <c r="R13" s="12"/>
      <c r="S13" s="13"/>
      <c r="T13" s="17" t="str">
        <f t="shared" si="0"/>
        <v/>
      </c>
    </row>
    <row r="14" spans="1:20" ht="75" customHeight="1" x14ac:dyDescent="0.4">
      <c r="A14" s="14">
        <v>11</v>
      </c>
      <c r="B14" s="15" t="s">
        <v>39</v>
      </c>
      <c r="C14" s="14" t="s">
        <v>40</v>
      </c>
      <c r="D14" s="14" t="s">
        <v>41</v>
      </c>
      <c r="E14" s="15" t="s">
        <v>37</v>
      </c>
      <c r="F14" s="14">
        <v>2000</v>
      </c>
      <c r="G14" s="14">
        <v>10</v>
      </c>
      <c r="H14" s="15" t="s">
        <v>51</v>
      </c>
      <c r="I14" s="15" t="s">
        <v>43</v>
      </c>
      <c r="J14" s="15" t="s">
        <v>44</v>
      </c>
      <c r="K14" s="15" t="s">
        <v>52</v>
      </c>
      <c r="L14" s="16" t="s">
        <v>29</v>
      </c>
      <c r="M14" s="11"/>
      <c r="N14" s="11"/>
      <c r="O14" s="12"/>
      <c r="P14" s="11"/>
      <c r="Q14" s="13"/>
      <c r="R14" s="12"/>
      <c r="S14" s="13"/>
      <c r="T14" s="14" t="str">
        <f t="shared" si="0"/>
        <v/>
      </c>
    </row>
    <row r="15" spans="1:20" ht="15" customHeight="1" x14ac:dyDescent="0.4">
      <c r="A15" s="17">
        <v>12</v>
      </c>
      <c r="B15" s="18" t="s">
        <v>39</v>
      </c>
      <c r="C15" s="17" t="s">
        <v>40</v>
      </c>
      <c r="D15" s="17" t="s">
        <v>41</v>
      </c>
      <c r="E15" s="18" t="s">
        <v>53</v>
      </c>
      <c r="F15" s="17">
        <v>1500</v>
      </c>
      <c r="G15" s="17"/>
      <c r="H15" s="18"/>
      <c r="I15" s="18" t="s">
        <v>43</v>
      </c>
      <c r="J15" s="18" t="s">
        <v>44</v>
      </c>
      <c r="K15" s="18" t="s">
        <v>54</v>
      </c>
      <c r="L15" s="19" t="s">
        <v>29</v>
      </c>
      <c r="M15" s="11"/>
      <c r="N15" s="11"/>
      <c r="O15" s="12"/>
      <c r="P15" s="11"/>
      <c r="Q15" s="13"/>
      <c r="R15" s="12"/>
      <c r="S15" s="13"/>
      <c r="T15" s="17" t="str">
        <f t="shared" si="0"/>
        <v/>
      </c>
    </row>
    <row r="16" spans="1:20" ht="15" customHeight="1" x14ac:dyDescent="0.4">
      <c r="A16" s="8">
        <v>13</v>
      </c>
      <c r="B16" s="9" t="s">
        <v>39</v>
      </c>
      <c r="C16" s="8" t="s">
        <v>40</v>
      </c>
      <c r="D16" s="8" t="s">
        <v>41</v>
      </c>
      <c r="E16" s="9" t="s">
        <v>53</v>
      </c>
      <c r="F16" s="8">
        <v>500</v>
      </c>
      <c r="G16" s="8"/>
      <c r="H16" s="9"/>
      <c r="I16" s="9" t="s">
        <v>43</v>
      </c>
      <c r="J16" s="9" t="s">
        <v>44</v>
      </c>
      <c r="K16" s="9" t="s">
        <v>55</v>
      </c>
      <c r="L16" s="10" t="s">
        <v>29</v>
      </c>
      <c r="M16" s="11"/>
      <c r="N16" s="11"/>
      <c r="O16" s="12"/>
      <c r="P16" s="11"/>
      <c r="Q16" s="13"/>
      <c r="R16" s="12"/>
      <c r="S16" s="13"/>
      <c r="T16" s="8" t="str">
        <f t="shared" si="0"/>
        <v/>
      </c>
    </row>
    <row r="17" spans="1:20" ht="15" customHeight="1" x14ac:dyDescent="0.4">
      <c r="A17" s="17">
        <v>14</v>
      </c>
      <c r="B17" s="18" t="s">
        <v>39</v>
      </c>
      <c r="C17" s="17" t="s">
        <v>40</v>
      </c>
      <c r="D17" s="17" t="s">
        <v>41</v>
      </c>
      <c r="E17" s="18" t="s">
        <v>56</v>
      </c>
      <c r="F17" s="17">
        <v>300</v>
      </c>
      <c r="G17" s="17"/>
      <c r="H17" s="18"/>
      <c r="I17" s="18" t="s">
        <v>43</v>
      </c>
      <c r="J17" s="18" t="s">
        <v>44</v>
      </c>
      <c r="K17" s="18" t="s">
        <v>46</v>
      </c>
      <c r="L17" s="19" t="s">
        <v>29</v>
      </c>
      <c r="M17" s="11"/>
      <c r="N17" s="11"/>
      <c r="O17" s="12"/>
      <c r="P17" s="11"/>
      <c r="Q17" s="13"/>
      <c r="R17" s="12"/>
      <c r="S17" s="13"/>
      <c r="T17" s="17" t="str">
        <f t="shared" si="0"/>
        <v/>
      </c>
    </row>
    <row r="18" spans="1:20" ht="15" customHeight="1" x14ac:dyDescent="0.4">
      <c r="A18" s="8">
        <v>15</v>
      </c>
      <c r="B18" s="9" t="s">
        <v>39</v>
      </c>
      <c r="C18" s="8" t="s">
        <v>40</v>
      </c>
      <c r="D18" s="8" t="s">
        <v>41</v>
      </c>
      <c r="E18" s="9" t="s">
        <v>56</v>
      </c>
      <c r="F18" s="8">
        <v>200</v>
      </c>
      <c r="G18" s="8"/>
      <c r="H18" s="9"/>
      <c r="I18" s="9" t="s">
        <v>43</v>
      </c>
      <c r="J18" s="9" t="s">
        <v>44</v>
      </c>
      <c r="K18" s="9" t="s">
        <v>47</v>
      </c>
      <c r="L18" s="10" t="s">
        <v>29</v>
      </c>
      <c r="M18" s="11"/>
      <c r="N18" s="11"/>
      <c r="O18" s="12"/>
      <c r="P18" s="11"/>
      <c r="Q18" s="13"/>
      <c r="R18" s="12"/>
      <c r="S18" s="13"/>
      <c r="T18" s="8" t="str">
        <f t="shared" si="0"/>
        <v/>
      </c>
    </row>
    <row r="19" spans="1:20" ht="15" customHeight="1" x14ac:dyDescent="0.4">
      <c r="A19" s="17">
        <v>16</v>
      </c>
      <c r="B19" s="18" t="s">
        <v>39</v>
      </c>
      <c r="C19" s="17" t="s">
        <v>40</v>
      </c>
      <c r="D19" s="17" t="s">
        <v>41</v>
      </c>
      <c r="E19" s="18" t="s">
        <v>56</v>
      </c>
      <c r="F19" s="17">
        <v>100</v>
      </c>
      <c r="G19" s="17"/>
      <c r="H19" s="18"/>
      <c r="I19" s="18" t="s">
        <v>43</v>
      </c>
      <c r="J19" s="18" t="s">
        <v>44</v>
      </c>
      <c r="K19" s="18" t="s">
        <v>48</v>
      </c>
      <c r="L19" s="19" t="s">
        <v>29</v>
      </c>
      <c r="M19" s="11"/>
      <c r="N19" s="11"/>
      <c r="O19" s="12"/>
      <c r="P19" s="11"/>
      <c r="Q19" s="13"/>
      <c r="R19" s="12"/>
      <c r="S19" s="13"/>
      <c r="T19" s="17" t="str">
        <f t="shared" si="0"/>
        <v/>
      </c>
    </row>
    <row r="20" spans="1:20" ht="15" customHeight="1" x14ac:dyDescent="0.4">
      <c r="A20" s="8">
        <v>17</v>
      </c>
      <c r="B20" s="9" t="s">
        <v>39</v>
      </c>
      <c r="C20" s="8" t="s">
        <v>40</v>
      </c>
      <c r="D20" s="8" t="s">
        <v>41</v>
      </c>
      <c r="E20" s="9" t="s">
        <v>57</v>
      </c>
      <c r="F20" s="8">
        <v>200</v>
      </c>
      <c r="G20" s="8"/>
      <c r="H20" s="9"/>
      <c r="I20" s="9" t="s">
        <v>43</v>
      </c>
      <c r="J20" s="9" t="s">
        <v>44</v>
      </c>
      <c r="K20" s="9" t="s">
        <v>47</v>
      </c>
      <c r="L20" s="10" t="s">
        <v>29</v>
      </c>
      <c r="M20" s="11"/>
      <c r="N20" s="11"/>
      <c r="O20" s="12"/>
      <c r="P20" s="11"/>
      <c r="Q20" s="13"/>
      <c r="R20" s="12"/>
      <c r="S20" s="13"/>
      <c r="T20" s="8" t="str">
        <f t="shared" si="0"/>
        <v/>
      </c>
    </row>
    <row r="21" spans="1:20" ht="15" customHeight="1" x14ac:dyDescent="0.4">
      <c r="A21" s="17">
        <v>18</v>
      </c>
      <c r="B21" s="18" t="s">
        <v>39</v>
      </c>
      <c r="C21" s="17" t="s">
        <v>40</v>
      </c>
      <c r="D21" s="17" t="s">
        <v>41</v>
      </c>
      <c r="E21" s="18" t="s">
        <v>57</v>
      </c>
      <c r="F21" s="17">
        <v>100</v>
      </c>
      <c r="G21" s="17"/>
      <c r="H21" s="18"/>
      <c r="I21" s="18" t="s">
        <v>43</v>
      </c>
      <c r="J21" s="18" t="s">
        <v>44</v>
      </c>
      <c r="K21" s="18" t="s">
        <v>48</v>
      </c>
      <c r="L21" s="19" t="s">
        <v>29</v>
      </c>
      <c r="M21" s="11"/>
      <c r="N21" s="11"/>
      <c r="O21" s="12"/>
      <c r="P21" s="11"/>
      <c r="Q21" s="13"/>
      <c r="R21" s="12"/>
      <c r="S21" s="13"/>
      <c r="T21" s="17" t="str">
        <f t="shared" si="0"/>
        <v/>
      </c>
    </row>
    <row r="22" spans="1:20" ht="30" customHeight="1" x14ac:dyDescent="0.4">
      <c r="A22" s="14">
        <v>19</v>
      </c>
      <c r="B22" s="15" t="s">
        <v>39</v>
      </c>
      <c r="C22" s="14" t="s">
        <v>40</v>
      </c>
      <c r="D22" s="14" t="s">
        <v>24</v>
      </c>
      <c r="E22" s="15" t="s">
        <v>30</v>
      </c>
      <c r="F22" s="14">
        <v>300</v>
      </c>
      <c r="G22" s="14"/>
      <c r="H22" s="15" t="s">
        <v>58</v>
      </c>
      <c r="I22" s="15" t="s">
        <v>43</v>
      </c>
      <c r="J22" s="15" t="s">
        <v>59</v>
      </c>
      <c r="K22" s="15" t="s">
        <v>60</v>
      </c>
      <c r="L22" s="16" t="s">
        <v>29</v>
      </c>
      <c r="M22" s="11"/>
      <c r="N22" s="11"/>
      <c r="O22" s="12"/>
      <c r="P22" s="11"/>
      <c r="Q22" s="13"/>
      <c r="R22" s="12"/>
      <c r="S22" s="13"/>
      <c r="T22" s="14" t="str">
        <f t="shared" si="0"/>
        <v/>
      </c>
    </row>
    <row r="23" spans="1:20" ht="45" customHeight="1" x14ac:dyDescent="0.4">
      <c r="A23" s="14">
        <v>20</v>
      </c>
      <c r="B23" s="15" t="s">
        <v>39</v>
      </c>
      <c r="C23" s="14" t="s">
        <v>40</v>
      </c>
      <c r="D23" s="14" t="s">
        <v>24</v>
      </c>
      <c r="E23" s="15" t="s">
        <v>30</v>
      </c>
      <c r="F23" s="14">
        <v>100</v>
      </c>
      <c r="G23" s="14"/>
      <c r="H23" s="15" t="s">
        <v>58</v>
      </c>
      <c r="I23" s="15" t="s">
        <v>43</v>
      </c>
      <c r="J23" s="15" t="s">
        <v>44</v>
      </c>
      <c r="K23" s="15" t="s">
        <v>61</v>
      </c>
      <c r="L23" s="16" t="s">
        <v>29</v>
      </c>
      <c r="M23" s="11"/>
      <c r="N23" s="11"/>
      <c r="O23" s="12"/>
      <c r="P23" s="11"/>
      <c r="Q23" s="13"/>
      <c r="R23" s="12"/>
      <c r="S23" s="13"/>
      <c r="T23" s="14" t="str">
        <f t="shared" si="0"/>
        <v/>
      </c>
    </row>
    <row r="24" spans="1:20" ht="30" customHeight="1" x14ac:dyDescent="0.4">
      <c r="A24" s="8">
        <v>21</v>
      </c>
      <c r="B24" s="9" t="s">
        <v>39</v>
      </c>
      <c r="C24" s="8" t="s">
        <v>40</v>
      </c>
      <c r="D24" s="8" t="s">
        <v>24</v>
      </c>
      <c r="E24" s="9" t="s">
        <v>33</v>
      </c>
      <c r="F24" s="8">
        <v>300</v>
      </c>
      <c r="G24" s="8"/>
      <c r="H24" s="9"/>
      <c r="I24" s="9" t="s">
        <v>43</v>
      </c>
      <c r="J24" s="9" t="s">
        <v>44</v>
      </c>
      <c r="K24" s="9" t="s">
        <v>62</v>
      </c>
      <c r="L24" s="10" t="s">
        <v>29</v>
      </c>
      <c r="M24" s="11"/>
      <c r="N24" s="11"/>
      <c r="O24" s="12"/>
      <c r="P24" s="11"/>
      <c r="Q24" s="13"/>
      <c r="R24" s="12"/>
      <c r="S24" s="13"/>
      <c r="T24" s="8" t="str">
        <f t="shared" si="0"/>
        <v/>
      </c>
    </row>
    <row r="25" spans="1:20" ht="45" customHeight="1" x14ac:dyDescent="0.4">
      <c r="A25" s="14">
        <v>22</v>
      </c>
      <c r="B25" s="15" t="s">
        <v>39</v>
      </c>
      <c r="C25" s="14" t="s">
        <v>40</v>
      </c>
      <c r="D25" s="14" t="s">
        <v>24</v>
      </c>
      <c r="E25" s="15" t="s">
        <v>53</v>
      </c>
      <c r="F25" s="14">
        <v>300</v>
      </c>
      <c r="G25" s="14"/>
      <c r="H25" s="15" t="s">
        <v>58</v>
      </c>
      <c r="I25" s="15" t="s">
        <v>43</v>
      </c>
      <c r="J25" s="15" t="s">
        <v>44</v>
      </c>
      <c r="K25" s="15" t="s">
        <v>63</v>
      </c>
      <c r="L25" s="16" t="s">
        <v>29</v>
      </c>
      <c r="M25" s="11"/>
      <c r="N25" s="11"/>
      <c r="O25" s="12"/>
      <c r="P25" s="11"/>
      <c r="Q25" s="13"/>
      <c r="R25" s="12"/>
      <c r="S25" s="13"/>
      <c r="T25" s="14" t="str">
        <f t="shared" si="0"/>
        <v/>
      </c>
    </row>
    <row r="26" spans="1:20" ht="30" customHeight="1" x14ac:dyDescent="0.4">
      <c r="A26" s="14">
        <v>23</v>
      </c>
      <c r="B26" s="15" t="s">
        <v>39</v>
      </c>
      <c r="C26" s="14" t="s">
        <v>40</v>
      </c>
      <c r="D26" s="14" t="s">
        <v>24</v>
      </c>
      <c r="E26" s="15" t="s">
        <v>53</v>
      </c>
      <c r="F26" s="14">
        <v>300</v>
      </c>
      <c r="G26" s="14"/>
      <c r="H26" s="15" t="s">
        <v>58</v>
      </c>
      <c r="I26" s="15" t="s">
        <v>43</v>
      </c>
      <c r="J26" s="15" t="s">
        <v>59</v>
      </c>
      <c r="K26" s="15" t="s">
        <v>60</v>
      </c>
      <c r="L26" s="16" t="s">
        <v>29</v>
      </c>
      <c r="M26" s="11"/>
      <c r="N26" s="11"/>
      <c r="O26" s="12"/>
      <c r="P26" s="11"/>
      <c r="Q26" s="13"/>
      <c r="R26" s="12"/>
      <c r="S26" s="13"/>
      <c r="T26" s="14" t="str">
        <f t="shared" si="0"/>
        <v/>
      </c>
    </row>
    <row r="27" spans="1:20" ht="45" customHeight="1" x14ac:dyDescent="0.4">
      <c r="A27" s="14">
        <v>24</v>
      </c>
      <c r="B27" s="15" t="s">
        <v>39</v>
      </c>
      <c r="C27" s="14" t="s">
        <v>40</v>
      </c>
      <c r="D27" s="14" t="s">
        <v>24</v>
      </c>
      <c r="E27" s="15" t="s">
        <v>56</v>
      </c>
      <c r="F27" s="14">
        <v>100</v>
      </c>
      <c r="G27" s="14"/>
      <c r="H27" s="15" t="s">
        <v>58</v>
      </c>
      <c r="I27" s="15" t="s">
        <v>43</v>
      </c>
      <c r="J27" s="15" t="s">
        <v>44</v>
      </c>
      <c r="K27" s="15" t="s">
        <v>61</v>
      </c>
      <c r="L27" s="16" t="s">
        <v>29</v>
      </c>
      <c r="M27" s="11"/>
      <c r="N27" s="11"/>
      <c r="O27" s="12"/>
      <c r="P27" s="11"/>
      <c r="Q27" s="13"/>
      <c r="R27" s="12"/>
      <c r="S27" s="13"/>
      <c r="T27" s="14" t="str">
        <f t="shared" si="0"/>
        <v/>
      </c>
    </row>
    <row r="28" spans="1:20" ht="30" customHeight="1" x14ac:dyDescent="0.4">
      <c r="A28" s="14">
        <v>25</v>
      </c>
      <c r="B28" s="15" t="s">
        <v>39</v>
      </c>
      <c r="C28" s="14" t="s">
        <v>40</v>
      </c>
      <c r="D28" s="14" t="s">
        <v>24</v>
      </c>
      <c r="E28" s="15" t="s">
        <v>57</v>
      </c>
      <c r="F28" s="14">
        <v>300</v>
      </c>
      <c r="G28" s="14"/>
      <c r="H28" s="15" t="s">
        <v>58</v>
      </c>
      <c r="I28" s="15" t="s">
        <v>43</v>
      </c>
      <c r="J28" s="15" t="s">
        <v>59</v>
      </c>
      <c r="K28" s="15" t="s">
        <v>60</v>
      </c>
      <c r="L28" s="16" t="s">
        <v>29</v>
      </c>
      <c r="M28" s="11"/>
      <c r="N28" s="11"/>
      <c r="O28" s="12"/>
      <c r="P28" s="11"/>
      <c r="Q28" s="13"/>
      <c r="R28" s="12"/>
      <c r="S28" s="13"/>
      <c r="T28" s="14" t="str">
        <f t="shared" si="0"/>
        <v/>
      </c>
    </row>
    <row r="29" spans="1:20" ht="30" customHeight="1" x14ac:dyDescent="0.4">
      <c r="A29" s="17">
        <v>26</v>
      </c>
      <c r="B29" s="18" t="s">
        <v>64</v>
      </c>
      <c r="C29" s="17" t="s">
        <v>65</v>
      </c>
      <c r="D29" s="17" t="s">
        <v>41</v>
      </c>
      <c r="E29" s="18" t="s">
        <v>42</v>
      </c>
      <c r="F29" s="17">
        <v>2000</v>
      </c>
      <c r="G29" s="17">
        <v>5</v>
      </c>
      <c r="H29" s="18"/>
      <c r="I29" s="18" t="s">
        <v>66</v>
      </c>
      <c r="J29" s="18" t="s">
        <v>67</v>
      </c>
      <c r="K29" s="18" t="s">
        <v>68</v>
      </c>
      <c r="L29" s="19" t="s">
        <v>29</v>
      </c>
      <c r="M29" s="11"/>
      <c r="N29" s="11"/>
      <c r="O29" s="12"/>
      <c r="P29" s="11"/>
      <c r="Q29" s="13"/>
      <c r="R29" s="12"/>
      <c r="S29" s="13"/>
      <c r="T29" s="17" t="str">
        <f t="shared" si="0"/>
        <v/>
      </c>
    </row>
    <row r="30" spans="1:20" ht="30" customHeight="1" x14ac:dyDescent="0.4">
      <c r="A30" s="8">
        <v>27</v>
      </c>
      <c r="B30" s="9" t="s">
        <v>64</v>
      </c>
      <c r="C30" s="8" t="s">
        <v>65</v>
      </c>
      <c r="D30" s="8" t="s">
        <v>41</v>
      </c>
      <c r="E30" s="9" t="s">
        <v>30</v>
      </c>
      <c r="F30" s="8">
        <v>2000</v>
      </c>
      <c r="G30" s="8">
        <v>5</v>
      </c>
      <c r="H30" s="9"/>
      <c r="I30" s="9" t="s">
        <v>66</v>
      </c>
      <c r="J30" s="9" t="s">
        <v>67</v>
      </c>
      <c r="K30" s="9" t="s">
        <v>68</v>
      </c>
      <c r="L30" s="10" t="s">
        <v>29</v>
      </c>
      <c r="M30" s="11"/>
      <c r="N30" s="11"/>
      <c r="O30" s="12"/>
      <c r="P30" s="11"/>
      <c r="Q30" s="13"/>
      <c r="R30" s="12"/>
      <c r="S30" s="13"/>
      <c r="T30" s="8" t="str">
        <f t="shared" si="0"/>
        <v/>
      </c>
    </row>
    <row r="31" spans="1:20" ht="30" customHeight="1" x14ac:dyDescent="0.4">
      <c r="A31" s="17">
        <v>28</v>
      </c>
      <c r="B31" s="18" t="s">
        <v>64</v>
      </c>
      <c r="C31" s="17" t="s">
        <v>65</v>
      </c>
      <c r="D31" s="17" t="s">
        <v>41</v>
      </c>
      <c r="E31" s="18" t="s">
        <v>37</v>
      </c>
      <c r="F31" s="17">
        <v>2000</v>
      </c>
      <c r="G31" s="17">
        <v>5</v>
      </c>
      <c r="H31" s="18"/>
      <c r="I31" s="18" t="s">
        <v>66</v>
      </c>
      <c r="J31" s="18" t="s">
        <v>67</v>
      </c>
      <c r="K31" s="18" t="s">
        <v>68</v>
      </c>
      <c r="L31" s="19" t="s">
        <v>29</v>
      </c>
      <c r="M31" s="11"/>
      <c r="N31" s="11"/>
      <c r="O31" s="12"/>
      <c r="P31" s="11"/>
      <c r="Q31" s="13"/>
      <c r="R31" s="12"/>
      <c r="S31" s="13"/>
      <c r="T31" s="17" t="str">
        <f t="shared" si="0"/>
        <v/>
      </c>
    </row>
    <row r="32" spans="1:20" ht="15" customHeight="1" x14ac:dyDescent="0.4">
      <c r="A32" s="8">
        <v>29</v>
      </c>
      <c r="B32" s="9" t="s">
        <v>64</v>
      </c>
      <c r="C32" s="8" t="s">
        <v>65</v>
      </c>
      <c r="D32" s="8" t="s">
        <v>24</v>
      </c>
      <c r="E32" s="9" t="s">
        <v>30</v>
      </c>
      <c r="F32" s="8">
        <v>200</v>
      </c>
      <c r="G32" s="8"/>
      <c r="H32" s="9"/>
      <c r="I32" s="9" t="s">
        <v>66</v>
      </c>
      <c r="J32" s="9" t="s">
        <v>67</v>
      </c>
      <c r="K32" s="9" t="s">
        <v>69</v>
      </c>
      <c r="L32" s="10" t="s">
        <v>29</v>
      </c>
      <c r="M32" s="11"/>
      <c r="N32" s="11"/>
      <c r="O32" s="12"/>
      <c r="P32" s="11"/>
      <c r="Q32" s="13"/>
      <c r="R32" s="12"/>
      <c r="S32" s="13"/>
      <c r="T32" s="8" t="str">
        <f t="shared" si="0"/>
        <v/>
      </c>
    </row>
    <row r="33" spans="1:20" ht="45" customHeight="1" x14ac:dyDescent="0.4">
      <c r="A33" s="14">
        <v>30</v>
      </c>
      <c r="B33" s="15" t="s">
        <v>70</v>
      </c>
      <c r="C33" s="14" t="s">
        <v>71</v>
      </c>
      <c r="D33" s="14" t="s">
        <v>41</v>
      </c>
      <c r="E33" s="15" t="s">
        <v>42</v>
      </c>
      <c r="F33" s="14">
        <v>2000</v>
      </c>
      <c r="G33" s="14">
        <v>10</v>
      </c>
      <c r="H33" s="15" t="s">
        <v>31</v>
      </c>
      <c r="I33" s="15" t="s">
        <v>72</v>
      </c>
      <c r="J33" s="15" t="s">
        <v>73</v>
      </c>
      <c r="K33" s="15" t="s">
        <v>74</v>
      </c>
      <c r="L33" s="16" t="s">
        <v>29</v>
      </c>
      <c r="M33" s="11"/>
      <c r="N33" s="11"/>
      <c r="O33" s="12"/>
      <c r="P33" s="11"/>
      <c r="Q33" s="13"/>
      <c r="R33" s="12"/>
      <c r="S33" s="13"/>
      <c r="T33" s="14" t="str">
        <f t="shared" si="0"/>
        <v/>
      </c>
    </row>
    <row r="34" spans="1:20" ht="45" customHeight="1" x14ac:dyDescent="0.4">
      <c r="A34" s="14">
        <v>31</v>
      </c>
      <c r="B34" s="15" t="s">
        <v>70</v>
      </c>
      <c r="C34" s="14" t="s">
        <v>71</v>
      </c>
      <c r="D34" s="14" t="s">
        <v>41</v>
      </c>
      <c r="E34" s="15" t="s">
        <v>75</v>
      </c>
      <c r="F34" s="14">
        <v>2000</v>
      </c>
      <c r="G34" s="14">
        <v>10</v>
      </c>
      <c r="H34" s="15" t="s">
        <v>31</v>
      </c>
      <c r="I34" s="15" t="s">
        <v>72</v>
      </c>
      <c r="J34" s="15" t="s">
        <v>73</v>
      </c>
      <c r="K34" s="15" t="s">
        <v>74</v>
      </c>
      <c r="L34" s="16" t="s">
        <v>29</v>
      </c>
      <c r="M34" s="11"/>
      <c r="N34" s="11"/>
      <c r="O34" s="12"/>
      <c r="P34" s="11"/>
      <c r="Q34" s="13"/>
      <c r="R34" s="12"/>
      <c r="S34" s="13"/>
      <c r="T34" s="14" t="str">
        <f t="shared" si="0"/>
        <v/>
      </c>
    </row>
    <row r="35" spans="1:20" ht="45" customHeight="1" x14ac:dyDescent="0.4">
      <c r="A35" s="14">
        <v>32</v>
      </c>
      <c r="B35" s="15" t="s">
        <v>70</v>
      </c>
      <c r="C35" s="14" t="s">
        <v>71</v>
      </c>
      <c r="D35" s="14" t="s">
        <v>41</v>
      </c>
      <c r="E35" s="15" t="s">
        <v>75</v>
      </c>
      <c r="F35" s="14">
        <v>500</v>
      </c>
      <c r="G35" s="14">
        <v>10</v>
      </c>
      <c r="H35" s="15" t="s">
        <v>31</v>
      </c>
      <c r="I35" s="15" t="s">
        <v>72</v>
      </c>
      <c r="J35" s="15" t="s">
        <v>73</v>
      </c>
      <c r="K35" s="15" t="s">
        <v>76</v>
      </c>
      <c r="L35" s="16" t="s">
        <v>29</v>
      </c>
      <c r="M35" s="11"/>
      <c r="N35" s="11"/>
      <c r="O35" s="12"/>
      <c r="P35" s="11"/>
      <c r="Q35" s="13"/>
      <c r="R35" s="12"/>
      <c r="S35" s="13"/>
      <c r="T35" s="14" t="str">
        <f t="shared" si="0"/>
        <v/>
      </c>
    </row>
    <row r="36" spans="1:20" ht="45" customHeight="1" x14ac:dyDescent="0.4">
      <c r="A36" s="14">
        <v>33</v>
      </c>
      <c r="B36" s="15" t="s">
        <v>70</v>
      </c>
      <c r="C36" s="14" t="s">
        <v>71</v>
      </c>
      <c r="D36" s="14" t="s">
        <v>41</v>
      </c>
      <c r="E36" s="15" t="s">
        <v>25</v>
      </c>
      <c r="F36" s="14">
        <v>2000</v>
      </c>
      <c r="G36" s="14">
        <v>10</v>
      </c>
      <c r="H36" s="15" t="s">
        <v>31</v>
      </c>
      <c r="I36" s="15" t="s">
        <v>72</v>
      </c>
      <c r="J36" s="15" t="s">
        <v>73</v>
      </c>
      <c r="K36" s="15" t="s">
        <v>74</v>
      </c>
      <c r="L36" s="16" t="s">
        <v>29</v>
      </c>
      <c r="M36" s="11"/>
      <c r="N36" s="11"/>
      <c r="O36" s="12"/>
      <c r="P36" s="11"/>
      <c r="Q36" s="13"/>
      <c r="R36" s="12"/>
      <c r="S36" s="13"/>
      <c r="T36" s="14" t="str">
        <f t="shared" ref="T36:T67" si="1">IF(M36="","",IF(M36=F36,"일치","변경"))</f>
        <v/>
      </c>
    </row>
    <row r="37" spans="1:20" ht="45" customHeight="1" x14ac:dyDescent="0.4">
      <c r="A37" s="14">
        <v>34</v>
      </c>
      <c r="B37" s="15" t="s">
        <v>70</v>
      </c>
      <c r="C37" s="14" t="s">
        <v>71</v>
      </c>
      <c r="D37" s="14" t="s">
        <v>41</v>
      </c>
      <c r="E37" s="15" t="s">
        <v>25</v>
      </c>
      <c r="F37" s="14">
        <v>500</v>
      </c>
      <c r="G37" s="14">
        <v>10</v>
      </c>
      <c r="H37" s="15" t="s">
        <v>31</v>
      </c>
      <c r="I37" s="15" t="s">
        <v>72</v>
      </c>
      <c r="J37" s="15" t="s">
        <v>73</v>
      </c>
      <c r="K37" s="15" t="s">
        <v>76</v>
      </c>
      <c r="L37" s="16" t="s">
        <v>29</v>
      </c>
      <c r="M37" s="11"/>
      <c r="N37" s="11"/>
      <c r="O37" s="12"/>
      <c r="P37" s="11"/>
      <c r="Q37" s="13"/>
      <c r="R37" s="12"/>
      <c r="S37" s="13"/>
      <c r="T37" s="14" t="str">
        <f t="shared" si="1"/>
        <v/>
      </c>
    </row>
    <row r="38" spans="1:20" ht="30" customHeight="1" x14ac:dyDescent="0.4">
      <c r="A38" s="8">
        <v>35</v>
      </c>
      <c r="B38" s="9" t="s">
        <v>70</v>
      </c>
      <c r="C38" s="8" t="s">
        <v>71</v>
      </c>
      <c r="D38" s="8" t="s">
        <v>41</v>
      </c>
      <c r="E38" s="9" t="s">
        <v>30</v>
      </c>
      <c r="F38" s="8">
        <v>2000</v>
      </c>
      <c r="G38" s="8"/>
      <c r="H38" s="9"/>
      <c r="I38" s="9" t="s">
        <v>72</v>
      </c>
      <c r="J38" s="9" t="s">
        <v>73</v>
      </c>
      <c r="K38" s="9" t="s">
        <v>77</v>
      </c>
      <c r="L38" s="10" t="s">
        <v>29</v>
      </c>
      <c r="M38" s="11"/>
      <c r="N38" s="11"/>
      <c r="O38" s="12"/>
      <c r="P38" s="11"/>
      <c r="Q38" s="13"/>
      <c r="R38" s="12"/>
      <c r="S38" s="13"/>
      <c r="T38" s="8" t="str">
        <f t="shared" si="1"/>
        <v/>
      </c>
    </row>
    <row r="39" spans="1:20" ht="15" customHeight="1" x14ac:dyDescent="0.4">
      <c r="A39" s="17">
        <v>36</v>
      </c>
      <c r="B39" s="18" t="s">
        <v>70</v>
      </c>
      <c r="C39" s="17" t="s">
        <v>71</v>
      </c>
      <c r="D39" s="17" t="s">
        <v>41</v>
      </c>
      <c r="E39" s="18" t="s">
        <v>30</v>
      </c>
      <c r="F39" s="17">
        <v>250</v>
      </c>
      <c r="G39" s="17"/>
      <c r="H39" s="18"/>
      <c r="I39" s="18" t="s">
        <v>72</v>
      </c>
      <c r="J39" s="18" t="s">
        <v>73</v>
      </c>
      <c r="K39" s="18" t="s">
        <v>78</v>
      </c>
      <c r="L39" s="19" t="s">
        <v>29</v>
      </c>
      <c r="M39" s="11"/>
      <c r="N39" s="11"/>
      <c r="O39" s="12"/>
      <c r="P39" s="11"/>
      <c r="Q39" s="13"/>
      <c r="R39" s="12"/>
      <c r="S39" s="13"/>
      <c r="T39" s="17" t="str">
        <f t="shared" si="1"/>
        <v/>
      </c>
    </row>
    <row r="40" spans="1:20" ht="45" customHeight="1" x14ac:dyDescent="0.4">
      <c r="A40" s="14">
        <v>37</v>
      </c>
      <c r="B40" s="15" t="s">
        <v>70</v>
      </c>
      <c r="C40" s="14" t="s">
        <v>71</v>
      </c>
      <c r="D40" s="14" t="s">
        <v>41</v>
      </c>
      <c r="E40" s="15" t="s">
        <v>37</v>
      </c>
      <c r="F40" s="14">
        <v>2000</v>
      </c>
      <c r="G40" s="14">
        <v>10</v>
      </c>
      <c r="H40" s="15" t="s">
        <v>31</v>
      </c>
      <c r="I40" s="15" t="s">
        <v>72</v>
      </c>
      <c r="J40" s="15" t="s">
        <v>73</v>
      </c>
      <c r="K40" s="15" t="s">
        <v>74</v>
      </c>
      <c r="L40" s="16" t="s">
        <v>29</v>
      </c>
      <c r="M40" s="11"/>
      <c r="N40" s="11"/>
      <c r="O40" s="12"/>
      <c r="P40" s="11"/>
      <c r="Q40" s="13"/>
      <c r="R40" s="12"/>
      <c r="S40" s="13"/>
      <c r="T40" s="14" t="str">
        <f t="shared" si="1"/>
        <v/>
      </c>
    </row>
    <row r="41" spans="1:20" ht="45" customHeight="1" x14ac:dyDescent="0.4">
      <c r="A41" s="14">
        <v>38</v>
      </c>
      <c r="B41" s="15" t="s">
        <v>70</v>
      </c>
      <c r="C41" s="14" t="s">
        <v>71</v>
      </c>
      <c r="D41" s="14" t="s">
        <v>41</v>
      </c>
      <c r="E41" s="15" t="s">
        <v>37</v>
      </c>
      <c r="F41" s="14">
        <v>500</v>
      </c>
      <c r="G41" s="14">
        <v>10</v>
      </c>
      <c r="H41" s="15" t="s">
        <v>31</v>
      </c>
      <c r="I41" s="15" t="s">
        <v>72</v>
      </c>
      <c r="J41" s="15" t="s">
        <v>73</v>
      </c>
      <c r="K41" s="15" t="s">
        <v>76</v>
      </c>
      <c r="L41" s="16" t="s">
        <v>29</v>
      </c>
      <c r="M41" s="11"/>
      <c r="N41" s="11"/>
      <c r="O41" s="12"/>
      <c r="P41" s="11"/>
      <c r="Q41" s="13"/>
      <c r="R41" s="12"/>
      <c r="S41" s="13"/>
      <c r="T41" s="14" t="str">
        <f t="shared" si="1"/>
        <v/>
      </c>
    </row>
    <row r="42" spans="1:20" ht="30" customHeight="1" x14ac:dyDescent="0.4">
      <c r="A42" s="8">
        <v>39</v>
      </c>
      <c r="B42" s="9" t="s">
        <v>70</v>
      </c>
      <c r="C42" s="8" t="s">
        <v>71</v>
      </c>
      <c r="D42" s="8" t="s">
        <v>41</v>
      </c>
      <c r="E42" s="9" t="s">
        <v>56</v>
      </c>
      <c r="F42" s="8">
        <v>2000</v>
      </c>
      <c r="G42" s="8"/>
      <c r="H42" s="9"/>
      <c r="I42" s="9" t="s">
        <v>72</v>
      </c>
      <c r="J42" s="9" t="s">
        <v>73</v>
      </c>
      <c r="K42" s="9" t="s">
        <v>77</v>
      </c>
      <c r="L42" s="10" t="s">
        <v>29</v>
      </c>
      <c r="M42" s="11"/>
      <c r="N42" s="11"/>
      <c r="O42" s="12"/>
      <c r="P42" s="11"/>
      <c r="Q42" s="13"/>
      <c r="R42" s="12"/>
      <c r="S42" s="13"/>
      <c r="T42" s="8" t="str">
        <f t="shared" si="1"/>
        <v/>
      </c>
    </row>
    <row r="43" spans="1:20" ht="30" customHeight="1" x14ac:dyDescent="0.4">
      <c r="A43" s="17">
        <v>40</v>
      </c>
      <c r="B43" s="18" t="s">
        <v>70</v>
      </c>
      <c r="C43" s="17" t="s">
        <v>71</v>
      </c>
      <c r="D43" s="17" t="s">
        <v>41</v>
      </c>
      <c r="E43" s="18" t="s">
        <v>57</v>
      </c>
      <c r="F43" s="17">
        <v>100</v>
      </c>
      <c r="G43" s="17"/>
      <c r="H43" s="18"/>
      <c r="I43" s="18" t="s">
        <v>72</v>
      </c>
      <c r="J43" s="18" t="s">
        <v>73</v>
      </c>
      <c r="K43" s="18" t="s">
        <v>79</v>
      </c>
      <c r="L43" s="19" t="s">
        <v>29</v>
      </c>
      <c r="M43" s="11"/>
      <c r="N43" s="11"/>
      <c r="O43" s="12"/>
      <c r="P43" s="11"/>
      <c r="Q43" s="13"/>
      <c r="R43" s="12"/>
      <c r="S43" s="13"/>
      <c r="T43" s="17" t="str">
        <f t="shared" si="1"/>
        <v/>
      </c>
    </row>
    <row r="44" spans="1:20" ht="45" customHeight="1" x14ac:dyDescent="0.4">
      <c r="A44" s="14">
        <v>41</v>
      </c>
      <c r="B44" s="15" t="s">
        <v>70</v>
      </c>
      <c r="C44" s="14" t="s">
        <v>71</v>
      </c>
      <c r="D44" s="14" t="s">
        <v>24</v>
      </c>
      <c r="E44" s="15" t="s">
        <v>75</v>
      </c>
      <c r="F44" s="14">
        <v>200</v>
      </c>
      <c r="G44" s="14">
        <v>10</v>
      </c>
      <c r="H44" s="15" t="s">
        <v>31</v>
      </c>
      <c r="I44" s="15" t="s">
        <v>72</v>
      </c>
      <c r="J44" s="15" t="s">
        <v>73</v>
      </c>
      <c r="K44" s="15" t="s">
        <v>80</v>
      </c>
      <c r="L44" s="16" t="s">
        <v>29</v>
      </c>
      <c r="M44" s="11"/>
      <c r="N44" s="11"/>
      <c r="O44" s="12"/>
      <c r="P44" s="11"/>
      <c r="Q44" s="13"/>
      <c r="R44" s="12"/>
      <c r="S44" s="13"/>
      <c r="T44" s="14" t="str">
        <f t="shared" si="1"/>
        <v/>
      </c>
    </row>
    <row r="45" spans="1:20" ht="45" customHeight="1" x14ac:dyDescent="0.4">
      <c r="A45" s="14">
        <v>42</v>
      </c>
      <c r="B45" s="15" t="s">
        <v>70</v>
      </c>
      <c r="C45" s="14" t="s">
        <v>71</v>
      </c>
      <c r="D45" s="14" t="s">
        <v>24</v>
      </c>
      <c r="E45" s="15" t="s">
        <v>25</v>
      </c>
      <c r="F45" s="14">
        <v>200</v>
      </c>
      <c r="G45" s="14">
        <v>10</v>
      </c>
      <c r="H45" s="15" t="s">
        <v>31</v>
      </c>
      <c r="I45" s="15" t="s">
        <v>72</v>
      </c>
      <c r="J45" s="15" t="s">
        <v>73</v>
      </c>
      <c r="K45" s="15" t="s">
        <v>80</v>
      </c>
      <c r="L45" s="16" t="s">
        <v>29</v>
      </c>
      <c r="M45" s="11"/>
      <c r="N45" s="11"/>
      <c r="O45" s="12"/>
      <c r="P45" s="11"/>
      <c r="Q45" s="13"/>
      <c r="R45" s="12"/>
      <c r="S45" s="13"/>
      <c r="T45" s="14" t="str">
        <f t="shared" si="1"/>
        <v/>
      </c>
    </row>
    <row r="46" spans="1:20" ht="30" customHeight="1" x14ac:dyDescent="0.4">
      <c r="A46" s="8">
        <v>43</v>
      </c>
      <c r="B46" s="9" t="s">
        <v>70</v>
      </c>
      <c r="C46" s="8" t="s">
        <v>71</v>
      </c>
      <c r="D46" s="8" t="s">
        <v>24</v>
      </c>
      <c r="E46" s="9" t="s">
        <v>30</v>
      </c>
      <c r="F46" s="8">
        <v>100</v>
      </c>
      <c r="G46" s="8"/>
      <c r="H46" s="9"/>
      <c r="I46" s="9" t="s">
        <v>72</v>
      </c>
      <c r="J46" s="9" t="s">
        <v>73</v>
      </c>
      <c r="K46" s="9" t="s">
        <v>81</v>
      </c>
      <c r="L46" s="10" t="s">
        <v>29</v>
      </c>
      <c r="M46" s="11"/>
      <c r="N46" s="11"/>
      <c r="O46" s="12"/>
      <c r="P46" s="11"/>
      <c r="Q46" s="13"/>
      <c r="R46" s="12"/>
      <c r="S46" s="13"/>
      <c r="T46" s="8" t="str">
        <f t="shared" si="1"/>
        <v/>
      </c>
    </row>
    <row r="47" spans="1:20" ht="45" customHeight="1" x14ac:dyDescent="0.4">
      <c r="A47" s="14">
        <v>44</v>
      </c>
      <c r="B47" s="15" t="s">
        <v>70</v>
      </c>
      <c r="C47" s="14" t="s">
        <v>71</v>
      </c>
      <c r="D47" s="14" t="s">
        <v>24</v>
      </c>
      <c r="E47" s="15" t="s">
        <v>37</v>
      </c>
      <c r="F47" s="14">
        <v>200</v>
      </c>
      <c r="G47" s="14">
        <v>10</v>
      </c>
      <c r="H47" s="15" t="s">
        <v>31</v>
      </c>
      <c r="I47" s="15" t="s">
        <v>72</v>
      </c>
      <c r="J47" s="15" t="s">
        <v>73</v>
      </c>
      <c r="K47" s="15" t="s">
        <v>80</v>
      </c>
      <c r="L47" s="16" t="s">
        <v>29</v>
      </c>
      <c r="M47" s="11"/>
      <c r="N47" s="11"/>
      <c r="O47" s="12"/>
      <c r="P47" s="11"/>
      <c r="Q47" s="13"/>
      <c r="R47" s="12"/>
      <c r="S47" s="13"/>
      <c r="T47" s="14" t="str">
        <f t="shared" si="1"/>
        <v/>
      </c>
    </row>
    <row r="48" spans="1:20" ht="30" customHeight="1" x14ac:dyDescent="0.4">
      <c r="A48" s="8">
        <v>45</v>
      </c>
      <c r="B48" s="9" t="s">
        <v>70</v>
      </c>
      <c r="C48" s="8" t="s">
        <v>71</v>
      </c>
      <c r="D48" s="8" t="s">
        <v>24</v>
      </c>
      <c r="E48" s="9" t="s">
        <v>56</v>
      </c>
      <c r="F48" s="8">
        <v>100</v>
      </c>
      <c r="G48" s="8"/>
      <c r="H48" s="9"/>
      <c r="I48" s="9" t="s">
        <v>72</v>
      </c>
      <c r="J48" s="9" t="s">
        <v>73</v>
      </c>
      <c r="K48" s="9" t="s">
        <v>81</v>
      </c>
      <c r="L48" s="10" t="s">
        <v>29</v>
      </c>
      <c r="M48" s="11"/>
      <c r="N48" s="11"/>
      <c r="O48" s="12"/>
      <c r="P48" s="11"/>
      <c r="Q48" s="13"/>
      <c r="R48" s="12"/>
      <c r="S48" s="13"/>
      <c r="T48" s="8" t="str">
        <f t="shared" si="1"/>
        <v/>
      </c>
    </row>
    <row r="49" spans="1:20" ht="30" customHeight="1" x14ac:dyDescent="0.4">
      <c r="A49" s="17">
        <v>46</v>
      </c>
      <c r="B49" s="18" t="s">
        <v>82</v>
      </c>
      <c r="C49" s="17" t="s">
        <v>83</v>
      </c>
      <c r="D49" s="17" t="s">
        <v>24</v>
      </c>
      <c r="E49" s="18" t="s">
        <v>75</v>
      </c>
      <c r="F49" s="17">
        <v>500</v>
      </c>
      <c r="G49" s="17"/>
      <c r="H49" s="18"/>
      <c r="I49" s="18" t="s">
        <v>84</v>
      </c>
      <c r="J49" s="18" t="s">
        <v>67</v>
      </c>
      <c r="K49" s="18" t="s">
        <v>85</v>
      </c>
      <c r="L49" s="19" t="s">
        <v>29</v>
      </c>
      <c r="M49" s="11"/>
      <c r="N49" s="11"/>
      <c r="O49" s="12"/>
      <c r="P49" s="11"/>
      <c r="Q49" s="13"/>
      <c r="R49" s="12"/>
      <c r="S49" s="13"/>
      <c r="T49" s="17" t="str">
        <f t="shared" si="1"/>
        <v/>
      </c>
    </row>
    <row r="50" spans="1:20" ht="30" customHeight="1" x14ac:dyDescent="0.4">
      <c r="A50" s="8">
        <v>47</v>
      </c>
      <c r="B50" s="9" t="s">
        <v>82</v>
      </c>
      <c r="C50" s="8" t="s">
        <v>83</v>
      </c>
      <c r="D50" s="8" t="s">
        <v>24</v>
      </c>
      <c r="E50" s="9" t="s">
        <v>25</v>
      </c>
      <c r="F50" s="8">
        <v>500</v>
      </c>
      <c r="G50" s="8"/>
      <c r="H50" s="9"/>
      <c r="I50" s="9" t="s">
        <v>84</v>
      </c>
      <c r="J50" s="9" t="s">
        <v>67</v>
      </c>
      <c r="K50" s="9" t="s">
        <v>85</v>
      </c>
      <c r="L50" s="10" t="s">
        <v>29</v>
      </c>
      <c r="M50" s="11"/>
      <c r="N50" s="11"/>
      <c r="O50" s="12"/>
      <c r="P50" s="11"/>
      <c r="Q50" s="13"/>
      <c r="R50" s="12"/>
      <c r="S50" s="13"/>
      <c r="T50" s="8" t="str">
        <f t="shared" si="1"/>
        <v/>
      </c>
    </row>
    <row r="51" spans="1:20" ht="30" customHeight="1" x14ac:dyDescent="0.4">
      <c r="A51" s="17">
        <v>48</v>
      </c>
      <c r="B51" s="18" t="s">
        <v>82</v>
      </c>
      <c r="C51" s="17" t="s">
        <v>83</v>
      </c>
      <c r="D51" s="17" t="s">
        <v>24</v>
      </c>
      <c r="E51" s="18" t="s">
        <v>37</v>
      </c>
      <c r="F51" s="17">
        <v>500</v>
      </c>
      <c r="G51" s="17"/>
      <c r="H51" s="18"/>
      <c r="I51" s="18" t="s">
        <v>84</v>
      </c>
      <c r="J51" s="18" t="s">
        <v>67</v>
      </c>
      <c r="K51" s="18" t="s">
        <v>85</v>
      </c>
      <c r="L51" s="19" t="s">
        <v>29</v>
      </c>
      <c r="M51" s="11"/>
      <c r="N51" s="11"/>
      <c r="O51" s="12"/>
      <c r="P51" s="11"/>
      <c r="Q51" s="13"/>
      <c r="R51" s="12"/>
      <c r="S51" s="13"/>
      <c r="T51" s="17" t="str">
        <f t="shared" si="1"/>
        <v/>
      </c>
    </row>
    <row r="52" spans="1:20" ht="30" customHeight="1" x14ac:dyDescent="0.4">
      <c r="A52" s="8">
        <v>49</v>
      </c>
      <c r="B52" s="9" t="s">
        <v>86</v>
      </c>
      <c r="C52" s="8" t="s">
        <v>87</v>
      </c>
      <c r="D52" s="8" t="s">
        <v>24</v>
      </c>
      <c r="E52" s="9" t="s">
        <v>25</v>
      </c>
      <c r="F52" s="8">
        <v>500</v>
      </c>
      <c r="G52" s="8"/>
      <c r="H52" s="9"/>
      <c r="I52" s="9" t="s">
        <v>88</v>
      </c>
      <c r="J52" s="9" t="s">
        <v>89</v>
      </c>
      <c r="K52" s="9" t="s">
        <v>90</v>
      </c>
      <c r="L52" s="10" t="s">
        <v>29</v>
      </c>
      <c r="M52" s="11"/>
      <c r="N52" s="11"/>
      <c r="O52" s="12"/>
      <c r="P52" s="11"/>
      <c r="Q52" s="13"/>
      <c r="R52" s="12"/>
      <c r="S52" s="13"/>
      <c r="T52" s="8" t="str">
        <f t="shared" si="1"/>
        <v/>
      </c>
    </row>
    <row r="53" spans="1:20" ht="60" customHeight="1" x14ac:dyDescent="0.4">
      <c r="A53" s="14">
        <v>50</v>
      </c>
      <c r="B53" s="15" t="s">
        <v>86</v>
      </c>
      <c r="C53" s="14" t="s">
        <v>87</v>
      </c>
      <c r="D53" s="14" t="s">
        <v>24</v>
      </c>
      <c r="E53" s="15" t="s">
        <v>30</v>
      </c>
      <c r="F53" s="14">
        <v>500</v>
      </c>
      <c r="G53" s="14">
        <v>1</v>
      </c>
      <c r="H53" s="15" t="s">
        <v>58</v>
      </c>
      <c r="I53" s="15" t="s">
        <v>88</v>
      </c>
      <c r="J53" s="15" t="s">
        <v>89</v>
      </c>
      <c r="K53" s="15" t="s">
        <v>91</v>
      </c>
      <c r="L53" s="16" t="s">
        <v>29</v>
      </c>
      <c r="M53" s="11"/>
      <c r="N53" s="11"/>
      <c r="O53" s="12"/>
      <c r="P53" s="11"/>
      <c r="Q53" s="13"/>
      <c r="R53" s="12"/>
      <c r="S53" s="13"/>
      <c r="T53" s="14" t="str">
        <f t="shared" si="1"/>
        <v/>
      </c>
    </row>
    <row r="54" spans="1:20" ht="30" customHeight="1" x14ac:dyDescent="0.4">
      <c r="A54" s="8">
        <v>51</v>
      </c>
      <c r="B54" s="9" t="s">
        <v>86</v>
      </c>
      <c r="C54" s="8" t="s">
        <v>87</v>
      </c>
      <c r="D54" s="8" t="s">
        <v>24</v>
      </c>
      <c r="E54" s="9" t="s">
        <v>35</v>
      </c>
      <c r="F54" s="8">
        <v>500</v>
      </c>
      <c r="G54" s="8">
        <v>10</v>
      </c>
      <c r="H54" s="9"/>
      <c r="I54" s="9" t="s">
        <v>88</v>
      </c>
      <c r="J54" s="9" t="s">
        <v>89</v>
      </c>
      <c r="K54" s="9" t="s">
        <v>92</v>
      </c>
      <c r="L54" s="10" t="s">
        <v>29</v>
      </c>
      <c r="M54" s="11"/>
      <c r="N54" s="11"/>
      <c r="O54" s="12"/>
      <c r="P54" s="11"/>
      <c r="Q54" s="13"/>
      <c r="R54" s="12"/>
      <c r="S54" s="13"/>
      <c r="T54" s="8" t="str">
        <f t="shared" si="1"/>
        <v/>
      </c>
    </row>
    <row r="55" spans="1:20" ht="30" customHeight="1" x14ac:dyDescent="0.4">
      <c r="A55" s="17">
        <v>52</v>
      </c>
      <c r="B55" s="18" t="s">
        <v>86</v>
      </c>
      <c r="C55" s="17" t="s">
        <v>87</v>
      </c>
      <c r="D55" s="17" t="s">
        <v>24</v>
      </c>
      <c r="E55" s="18" t="s">
        <v>35</v>
      </c>
      <c r="F55" s="17">
        <v>300</v>
      </c>
      <c r="G55" s="17">
        <v>10</v>
      </c>
      <c r="H55" s="18"/>
      <c r="I55" s="18" t="s">
        <v>88</v>
      </c>
      <c r="J55" s="18" t="s">
        <v>89</v>
      </c>
      <c r="K55" s="18" t="s">
        <v>93</v>
      </c>
      <c r="L55" s="19" t="s">
        <v>29</v>
      </c>
      <c r="M55" s="11"/>
      <c r="N55" s="11"/>
      <c r="O55" s="12"/>
      <c r="P55" s="11"/>
      <c r="Q55" s="13"/>
      <c r="R55" s="12"/>
      <c r="S55" s="13"/>
      <c r="T55" s="17" t="str">
        <f t="shared" si="1"/>
        <v/>
      </c>
    </row>
    <row r="56" spans="1:20" ht="15" customHeight="1" x14ac:dyDescent="0.4">
      <c r="A56" s="8">
        <v>53</v>
      </c>
      <c r="B56" s="9" t="s">
        <v>94</v>
      </c>
      <c r="C56" s="8" t="s">
        <v>95</v>
      </c>
      <c r="D56" s="8" t="s">
        <v>41</v>
      </c>
      <c r="E56" s="9" t="s">
        <v>25</v>
      </c>
      <c r="F56" s="8">
        <v>500</v>
      </c>
      <c r="G56" s="8">
        <v>5</v>
      </c>
      <c r="H56" s="9"/>
      <c r="I56" s="9" t="s">
        <v>96</v>
      </c>
      <c r="J56" s="9" t="s">
        <v>97</v>
      </c>
      <c r="K56" s="9" t="s">
        <v>98</v>
      </c>
      <c r="L56" s="10" t="s">
        <v>29</v>
      </c>
      <c r="M56" s="11"/>
      <c r="N56" s="11"/>
      <c r="O56" s="12"/>
      <c r="P56" s="11"/>
      <c r="Q56" s="13"/>
      <c r="R56" s="12"/>
      <c r="S56" s="13"/>
      <c r="T56" s="8" t="str">
        <f t="shared" si="1"/>
        <v/>
      </c>
    </row>
    <row r="57" spans="1:20" ht="15" customHeight="1" x14ac:dyDescent="0.4">
      <c r="A57" s="17">
        <v>54</v>
      </c>
      <c r="B57" s="18" t="s">
        <v>94</v>
      </c>
      <c r="C57" s="17" t="s">
        <v>95</v>
      </c>
      <c r="D57" s="17" t="s">
        <v>41</v>
      </c>
      <c r="E57" s="18" t="s">
        <v>30</v>
      </c>
      <c r="F57" s="17">
        <v>500</v>
      </c>
      <c r="G57" s="17"/>
      <c r="H57" s="18"/>
      <c r="I57" s="18" t="s">
        <v>96</v>
      </c>
      <c r="J57" s="18" t="s">
        <v>97</v>
      </c>
      <c r="K57" s="18" t="s">
        <v>99</v>
      </c>
      <c r="L57" s="19" t="s">
        <v>29</v>
      </c>
      <c r="M57" s="11"/>
      <c r="N57" s="11"/>
      <c r="O57" s="12"/>
      <c r="P57" s="11"/>
      <c r="Q57" s="13"/>
      <c r="R57" s="12"/>
      <c r="S57" s="13"/>
      <c r="T57" s="17" t="str">
        <f t="shared" si="1"/>
        <v/>
      </c>
    </row>
    <row r="58" spans="1:20" ht="15" customHeight="1" x14ac:dyDescent="0.4">
      <c r="A58" s="8">
        <v>55</v>
      </c>
      <c r="B58" s="9" t="s">
        <v>94</v>
      </c>
      <c r="C58" s="8" t="s">
        <v>95</v>
      </c>
      <c r="D58" s="8" t="s">
        <v>41</v>
      </c>
      <c r="E58" s="9" t="s">
        <v>37</v>
      </c>
      <c r="F58" s="8">
        <v>2000</v>
      </c>
      <c r="G58" s="8">
        <v>5</v>
      </c>
      <c r="H58" s="9"/>
      <c r="I58" s="9" t="s">
        <v>96</v>
      </c>
      <c r="J58" s="9" t="s">
        <v>97</v>
      </c>
      <c r="K58" s="9" t="s">
        <v>100</v>
      </c>
      <c r="L58" s="10" t="s">
        <v>29</v>
      </c>
      <c r="M58" s="11"/>
      <c r="N58" s="11"/>
      <c r="O58" s="12"/>
      <c r="P58" s="11"/>
      <c r="Q58" s="13"/>
      <c r="R58" s="12"/>
      <c r="S58" s="13"/>
      <c r="T58" s="8" t="str">
        <f t="shared" si="1"/>
        <v/>
      </c>
    </row>
    <row r="59" spans="1:20" ht="15" customHeight="1" x14ac:dyDescent="0.4">
      <c r="A59" s="17">
        <v>56</v>
      </c>
      <c r="B59" s="18" t="s">
        <v>94</v>
      </c>
      <c r="C59" s="17" t="s">
        <v>95</v>
      </c>
      <c r="D59" s="17" t="s">
        <v>41</v>
      </c>
      <c r="E59" s="18" t="s">
        <v>37</v>
      </c>
      <c r="F59" s="17">
        <v>500</v>
      </c>
      <c r="G59" s="17">
        <v>5</v>
      </c>
      <c r="H59" s="18"/>
      <c r="I59" s="18" t="s">
        <v>96</v>
      </c>
      <c r="J59" s="18" t="s">
        <v>97</v>
      </c>
      <c r="K59" s="18" t="s">
        <v>98</v>
      </c>
      <c r="L59" s="19" t="s">
        <v>29</v>
      </c>
      <c r="M59" s="11"/>
      <c r="N59" s="11"/>
      <c r="O59" s="12"/>
      <c r="P59" s="11"/>
      <c r="Q59" s="13"/>
      <c r="R59" s="12"/>
      <c r="S59" s="13"/>
      <c r="T59" s="17" t="str">
        <f t="shared" si="1"/>
        <v/>
      </c>
    </row>
    <row r="60" spans="1:20" ht="15" customHeight="1" x14ac:dyDescent="0.4">
      <c r="A60" s="8">
        <v>57</v>
      </c>
      <c r="B60" s="9" t="s">
        <v>94</v>
      </c>
      <c r="C60" s="8" t="s">
        <v>95</v>
      </c>
      <c r="D60" s="8" t="s">
        <v>41</v>
      </c>
      <c r="E60" s="9" t="s">
        <v>57</v>
      </c>
      <c r="F60" s="8">
        <v>500</v>
      </c>
      <c r="G60" s="8"/>
      <c r="H60" s="9"/>
      <c r="I60" s="9" t="s">
        <v>96</v>
      </c>
      <c r="J60" s="9" t="s">
        <v>97</v>
      </c>
      <c r="K60" s="9" t="s">
        <v>101</v>
      </c>
      <c r="L60" s="10" t="s">
        <v>29</v>
      </c>
      <c r="M60" s="11"/>
      <c r="N60" s="11"/>
      <c r="O60" s="12"/>
      <c r="P60" s="11"/>
      <c r="Q60" s="13"/>
      <c r="R60" s="12"/>
      <c r="S60" s="13"/>
      <c r="T60" s="8" t="str">
        <f t="shared" si="1"/>
        <v/>
      </c>
    </row>
    <row r="61" spans="1:20" ht="45" customHeight="1" x14ac:dyDescent="0.4">
      <c r="A61" s="14">
        <v>58</v>
      </c>
      <c r="B61" s="15" t="s">
        <v>94</v>
      </c>
      <c r="C61" s="14" t="s">
        <v>95</v>
      </c>
      <c r="D61" s="14" t="s">
        <v>24</v>
      </c>
      <c r="E61" s="15" t="s">
        <v>25</v>
      </c>
      <c r="F61" s="14">
        <v>500</v>
      </c>
      <c r="G61" s="14">
        <v>10</v>
      </c>
      <c r="H61" s="15" t="s">
        <v>31</v>
      </c>
      <c r="I61" s="15" t="s">
        <v>96</v>
      </c>
      <c r="J61" s="15" t="s">
        <v>97</v>
      </c>
      <c r="K61" s="15" t="s">
        <v>102</v>
      </c>
      <c r="L61" s="16" t="s">
        <v>29</v>
      </c>
      <c r="M61" s="11"/>
      <c r="N61" s="11"/>
      <c r="O61" s="12"/>
      <c r="P61" s="11"/>
      <c r="Q61" s="13"/>
      <c r="R61" s="12"/>
      <c r="S61" s="13"/>
      <c r="T61" s="14" t="str">
        <f t="shared" si="1"/>
        <v/>
      </c>
    </row>
    <row r="62" spans="1:20" ht="30" customHeight="1" x14ac:dyDescent="0.4">
      <c r="A62" s="8">
        <v>59</v>
      </c>
      <c r="B62" s="9" t="s">
        <v>94</v>
      </c>
      <c r="C62" s="8" t="s">
        <v>95</v>
      </c>
      <c r="D62" s="8" t="s">
        <v>24</v>
      </c>
      <c r="E62" s="9" t="s">
        <v>103</v>
      </c>
      <c r="F62" s="8">
        <v>1000</v>
      </c>
      <c r="G62" s="8"/>
      <c r="H62" s="9"/>
      <c r="I62" s="9" t="s">
        <v>96</v>
      </c>
      <c r="J62" s="9" t="s">
        <v>97</v>
      </c>
      <c r="K62" s="9" t="s">
        <v>104</v>
      </c>
      <c r="L62" s="10" t="s">
        <v>29</v>
      </c>
      <c r="M62" s="11"/>
      <c r="N62" s="11"/>
      <c r="O62" s="12"/>
      <c r="P62" s="11"/>
      <c r="Q62" s="13"/>
      <c r="R62" s="12"/>
      <c r="S62" s="13"/>
      <c r="T62" s="8" t="str">
        <f t="shared" si="1"/>
        <v/>
      </c>
    </row>
    <row r="63" spans="1:20" ht="15" customHeight="1" x14ac:dyDescent="0.4">
      <c r="A63" s="17">
        <v>60</v>
      </c>
      <c r="B63" s="18" t="s">
        <v>94</v>
      </c>
      <c r="C63" s="17" t="s">
        <v>95</v>
      </c>
      <c r="D63" s="17" t="s">
        <v>24</v>
      </c>
      <c r="E63" s="18" t="s">
        <v>30</v>
      </c>
      <c r="F63" s="17">
        <v>1000</v>
      </c>
      <c r="G63" s="17"/>
      <c r="H63" s="18"/>
      <c r="I63" s="18" t="s">
        <v>96</v>
      </c>
      <c r="J63" s="18" t="s">
        <v>97</v>
      </c>
      <c r="K63" s="18" t="s">
        <v>105</v>
      </c>
      <c r="L63" s="19" t="s">
        <v>29</v>
      </c>
      <c r="M63" s="11"/>
      <c r="N63" s="11"/>
      <c r="O63" s="12"/>
      <c r="P63" s="11"/>
      <c r="Q63" s="13"/>
      <c r="R63" s="12"/>
      <c r="S63" s="13"/>
      <c r="T63" s="17" t="str">
        <f t="shared" si="1"/>
        <v/>
      </c>
    </row>
    <row r="64" spans="1:20" ht="45" customHeight="1" x14ac:dyDescent="0.4">
      <c r="A64" s="14">
        <v>61</v>
      </c>
      <c r="B64" s="15" t="s">
        <v>94</v>
      </c>
      <c r="C64" s="14" t="s">
        <v>95</v>
      </c>
      <c r="D64" s="14" t="s">
        <v>24</v>
      </c>
      <c r="E64" s="15" t="s">
        <v>37</v>
      </c>
      <c r="F64" s="14">
        <v>500</v>
      </c>
      <c r="G64" s="14">
        <v>10</v>
      </c>
      <c r="H64" s="15" t="s">
        <v>31</v>
      </c>
      <c r="I64" s="15" t="s">
        <v>96</v>
      </c>
      <c r="J64" s="15" t="s">
        <v>97</v>
      </c>
      <c r="K64" s="15" t="s">
        <v>102</v>
      </c>
      <c r="L64" s="16" t="s">
        <v>29</v>
      </c>
      <c r="M64" s="11"/>
      <c r="N64" s="11"/>
      <c r="O64" s="12"/>
      <c r="P64" s="11"/>
      <c r="Q64" s="13"/>
      <c r="R64" s="12"/>
      <c r="S64" s="13"/>
      <c r="T64" s="14" t="str">
        <f t="shared" si="1"/>
        <v/>
      </c>
    </row>
    <row r="65" spans="1:20" ht="30" customHeight="1" x14ac:dyDescent="0.4">
      <c r="A65" s="17">
        <v>62</v>
      </c>
      <c r="B65" s="18" t="s">
        <v>94</v>
      </c>
      <c r="C65" s="17" t="s">
        <v>95</v>
      </c>
      <c r="D65" s="17" t="s">
        <v>24</v>
      </c>
      <c r="E65" s="18" t="s">
        <v>57</v>
      </c>
      <c r="F65" s="17">
        <v>1000</v>
      </c>
      <c r="G65" s="17"/>
      <c r="H65" s="18"/>
      <c r="I65" s="18" t="s">
        <v>96</v>
      </c>
      <c r="J65" s="18" t="s">
        <v>97</v>
      </c>
      <c r="K65" s="18" t="s">
        <v>104</v>
      </c>
      <c r="L65" s="19" t="s">
        <v>29</v>
      </c>
      <c r="M65" s="11"/>
      <c r="N65" s="11"/>
      <c r="O65" s="12"/>
      <c r="P65" s="11"/>
      <c r="Q65" s="13"/>
      <c r="R65" s="12"/>
      <c r="S65" s="13"/>
      <c r="T65" s="17" t="str">
        <f t="shared" si="1"/>
        <v/>
      </c>
    </row>
    <row r="66" spans="1:20" ht="30" customHeight="1" x14ac:dyDescent="0.4">
      <c r="A66" s="8">
        <v>63</v>
      </c>
      <c r="B66" s="9" t="s">
        <v>106</v>
      </c>
      <c r="C66" s="8" t="s">
        <v>107</v>
      </c>
      <c r="D66" s="8" t="s">
        <v>41</v>
      </c>
      <c r="E66" s="9" t="s">
        <v>42</v>
      </c>
      <c r="F66" s="8">
        <v>1500</v>
      </c>
      <c r="G66" s="8"/>
      <c r="H66" s="9"/>
      <c r="I66" s="9" t="s">
        <v>108</v>
      </c>
      <c r="J66" s="9" t="s">
        <v>73</v>
      </c>
      <c r="K66" s="9" t="s">
        <v>109</v>
      </c>
      <c r="L66" s="10" t="s">
        <v>29</v>
      </c>
      <c r="M66" s="11"/>
      <c r="N66" s="11"/>
      <c r="O66" s="12"/>
      <c r="P66" s="11"/>
      <c r="Q66" s="13"/>
      <c r="R66" s="12"/>
      <c r="S66" s="13"/>
      <c r="T66" s="8" t="str">
        <f t="shared" si="1"/>
        <v/>
      </c>
    </row>
    <row r="67" spans="1:20" ht="15" customHeight="1" x14ac:dyDescent="0.4">
      <c r="A67" s="17">
        <v>64</v>
      </c>
      <c r="B67" s="18" t="s">
        <v>106</v>
      </c>
      <c r="C67" s="17" t="s">
        <v>107</v>
      </c>
      <c r="D67" s="17" t="s">
        <v>41</v>
      </c>
      <c r="E67" s="18" t="s">
        <v>35</v>
      </c>
      <c r="F67" s="17">
        <v>1000</v>
      </c>
      <c r="G67" s="17"/>
      <c r="H67" s="18"/>
      <c r="I67" s="18" t="s">
        <v>108</v>
      </c>
      <c r="J67" s="18" t="s">
        <v>73</v>
      </c>
      <c r="K67" s="18" t="s">
        <v>110</v>
      </c>
      <c r="L67" s="19" t="s">
        <v>29</v>
      </c>
      <c r="M67" s="11"/>
      <c r="N67" s="11"/>
      <c r="O67" s="12"/>
      <c r="P67" s="11"/>
      <c r="Q67" s="13"/>
      <c r="R67" s="12"/>
      <c r="S67" s="13"/>
      <c r="T67" s="17" t="str">
        <f t="shared" si="1"/>
        <v/>
      </c>
    </row>
    <row r="68" spans="1:20" ht="30" customHeight="1" x14ac:dyDescent="0.4">
      <c r="A68" s="8">
        <v>65</v>
      </c>
      <c r="B68" s="9" t="s">
        <v>106</v>
      </c>
      <c r="C68" s="8" t="s">
        <v>107</v>
      </c>
      <c r="D68" s="8" t="s">
        <v>41</v>
      </c>
      <c r="E68" s="9" t="s">
        <v>49</v>
      </c>
      <c r="F68" s="8">
        <v>1500</v>
      </c>
      <c r="G68" s="8"/>
      <c r="H68" s="9"/>
      <c r="I68" s="9" t="s">
        <v>108</v>
      </c>
      <c r="J68" s="9" t="s">
        <v>73</v>
      </c>
      <c r="K68" s="9" t="s">
        <v>109</v>
      </c>
      <c r="L68" s="10" t="s">
        <v>29</v>
      </c>
      <c r="M68" s="11"/>
      <c r="N68" s="11"/>
      <c r="O68" s="12"/>
      <c r="P68" s="11"/>
      <c r="Q68" s="13"/>
      <c r="R68" s="12"/>
      <c r="S68" s="13"/>
      <c r="T68" s="8" t="str">
        <f t="shared" ref="T68:T99" si="2">IF(M68="","",IF(M68=F68,"일치","변경"))</f>
        <v/>
      </c>
    </row>
    <row r="69" spans="1:20" ht="30" customHeight="1" x14ac:dyDescent="0.4">
      <c r="A69" s="14">
        <v>66</v>
      </c>
      <c r="B69" s="15" t="s">
        <v>106</v>
      </c>
      <c r="C69" s="14" t="s">
        <v>107</v>
      </c>
      <c r="D69" s="14" t="s">
        <v>41</v>
      </c>
      <c r="E69" s="15" t="s">
        <v>37</v>
      </c>
      <c r="F69" s="14">
        <v>800</v>
      </c>
      <c r="G69" s="14">
        <v>10</v>
      </c>
      <c r="H69" s="15" t="s">
        <v>31</v>
      </c>
      <c r="I69" s="15" t="s">
        <v>108</v>
      </c>
      <c r="J69" s="15" t="s">
        <v>73</v>
      </c>
      <c r="K69" s="15" t="s">
        <v>111</v>
      </c>
      <c r="L69" s="16" t="s">
        <v>29</v>
      </c>
      <c r="M69" s="11"/>
      <c r="N69" s="11"/>
      <c r="O69" s="12"/>
      <c r="P69" s="11"/>
      <c r="Q69" s="13"/>
      <c r="R69" s="12"/>
      <c r="S69" s="13"/>
      <c r="T69" s="14" t="str">
        <f t="shared" si="2"/>
        <v/>
      </c>
    </row>
    <row r="70" spans="1:20" ht="30" customHeight="1" x14ac:dyDescent="0.4">
      <c r="A70" s="8">
        <v>67</v>
      </c>
      <c r="B70" s="9" t="s">
        <v>106</v>
      </c>
      <c r="C70" s="8" t="s">
        <v>107</v>
      </c>
      <c r="D70" s="8" t="s">
        <v>24</v>
      </c>
      <c r="E70" s="9" t="s">
        <v>25</v>
      </c>
      <c r="F70" s="8">
        <v>500</v>
      </c>
      <c r="G70" s="8"/>
      <c r="H70" s="9"/>
      <c r="I70" s="9" t="s">
        <v>108</v>
      </c>
      <c r="J70" s="9" t="s">
        <v>73</v>
      </c>
      <c r="K70" s="9" t="s">
        <v>112</v>
      </c>
      <c r="L70" s="10" t="s">
        <v>29</v>
      </c>
      <c r="M70" s="11"/>
      <c r="N70" s="11"/>
      <c r="O70" s="12"/>
      <c r="P70" s="11"/>
      <c r="Q70" s="13"/>
      <c r="R70" s="12"/>
      <c r="S70" s="13"/>
      <c r="T70" s="8" t="str">
        <f t="shared" si="2"/>
        <v/>
      </c>
    </row>
    <row r="71" spans="1:20" ht="15" customHeight="1" x14ac:dyDescent="0.4">
      <c r="A71" s="17">
        <v>68</v>
      </c>
      <c r="B71" s="18" t="s">
        <v>106</v>
      </c>
      <c r="C71" s="17" t="s">
        <v>107</v>
      </c>
      <c r="D71" s="17" t="s">
        <v>24</v>
      </c>
      <c r="E71" s="18" t="s">
        <v>30</v>
      </c>
      <c r="F71" s="17">
        <v>500</v>
      </c>
      <c r="G71" s="17"/>
      <c r="H71" s="18"/>
      <c r="I71" s="18" t="s">
        <v>108</v>
      </c>
      <c r="J71" s="18" t="s">
        <v>73</v>
      </c>
      <c r="K71" s="18" t="s">
        <v>113</v>
      </c>
      <c r="L71" s="19" t="s">
        <v>29</v>
      </c>
      <c r="M71" s="11"/>
      <c r="N71" s="11"/>
      <c r="O71" s="12"/>
      <c r="P71" s="11"/>
      <c r="Q71" s="13"/>
      <c r="R71" s="12"/>
      <c r="S71" s="13"/>
      <c r="T71" s="17" t="str">
        <f t="shared" si="2"/>
        <v/>
      </c>
    </row>
    <row r="72" spans="1:20" ht="15" customHeight="1" x14ac:dyDescent="0.4">
      <c r="A72" s="8">
        <v>69</v>
      </c>
      <c r="B72" s="9" t="s">
        <v>106</v>
      </c>
      <c r="C72" s="8" t="s">
        <v>107</v>
      </c>
      <c r="D72" s="8" t="s">
        <v>24</v>
      </c>
      <c r="E72" s="9" t="s">
        <v>30</v>
      </c>
      <c r="F72" s="8">
        <v>200</v>
      </c>
      <c r="G72" s="8"/>
      <c r="H72" s="9"/>
      <c r="I72" s="9" t="s">
        <v>108</v>
      </c>
      <c r="J72" s="9" t="s">
        <v>73</v>
      </c>
      <c r="K72" s="9" t="s">
        <v>114</v>
      </c>
      <c r="L72" s="10" t="s">
        <v>29</v>
      </c>
      <c r="M72" s="11"/>
      <c r="N72" s="11"/>
      <c r="O72" s="12"/>
      <c r="P72" s="11"/>
      <c r="Q72" s="13"/>
      <c r="R72" s="12"/>
      <c r="S72" s="13"/>
      <c r="T72" s="8" t="str">
        <f t="shared" si="2"/>
        <v/>
      </c>
    </row>
    <row r="73" spans="1:20" ht="15" customHeight="1" x14ac:dyDescent="0.4">
      <c r="A73" s="17">
        <v>70</v>
      </c>
      <c r="B73" s="18" t="s">
        <v>106</v>
      </c>
      <c r="C73" s="17" t="s">
        <v>107</v>
      </c>
      <c r="D73" s="17" t="s">
        <v>24</v>
      </c>
      <c r="E73" s="18" t="s">
        <v>30</v>
      </c>
      <c r="F73" s="17">
        <v>200</v>
      </c>
      <c r="G73" s="17"/>
      <c r="H73" s="18"/>
      <c r="I73" s="18" t="s">
        <v>108</v>
      </c>
      <c r="J73" s="18" t="s">
        <v>73</v>
      </c>
      <c r="K73" s="18" t="s">
        <v>115</v>
      </c>
      <c r="L73" s="19" t="s">
        <v>29</v>
      </c>
      <c r="M73" s="11"/>
      <c r="N73" s="11"/>
      <c r="O73" s="12"/>
      <c r="P73" s="11"/>
      <c r="Q73" s="13"/>
      <c r="R73" s="12"/>
      <c r="S73" s="13"/>
      <c r="T73" s="17" t="str">
        <f t="shared" si="2"/>
        <v/>
      </c>
    </row>
    <row r="74" spans="1:20" ht="15" customHeight="1" x14ac:dyDescent="0.4">
      <c r="A74" s="8">
        <v>71</v>
      </c>
      <c r="B74" s="9" t="s">
        <v>106</v>
      </c>
      <c r="C74" s="8" t="s">
        <v>107</v>
      </c>
      <c r="D74" s="8" t="s">
        <v>24</v>
      </c>
      <c r="E74" s="9" t="s">
        <v>35</v>
      </c>
      <c r="F74" s="8">
        <v>500</v>
      </c>
      <c r="G74" s="8"/>
      <c r="H74" s="9"/>
      <c r="I74" s="9" t="s">
        <v>108</v>
      </c>
      <c r="J74" s="9" t="s">
        <v>73</v>
      </c>
      <c r="K74" s="9" t="s">
        <v>116</v>
      </c>
      <c r="L74" s="10" t="s">
        <v>29</v>
      </c>
      <c r="M74" s="11"/>
      <c r="N74" s="11"/>
      <c r="O74" s="12"/>
      <c r="P74" s="11"/>
      <c r="Q74" s="13"/>
      <c r="R74" s="12"/>
      <c r="S74" s="13"/>
      <c r="T74" s="8" t="str">
        <f t="shared" si="2"/>
        <v/>
      </c>
    </row>
    <row r="75" spans="1:20" ht="30" customHeight="1" x14ac:dyDescent="0.4">
      <c r="A75" s="14">
        <v>72</v>
      </c>
      <c r="B75" s="15" t="s">
        <v>106</v>
      </c>
      <c r="C75" s="14" t="s">
        <v>107</v>
      </c>
      <c r="D75" s="14" t="s">
        <v>24</v>
      </c>
      <c r="E75" s="15" t="s">
        <v>35</v>
      </c>
      <c r="F75" s="14">
        <v>200</v>
      </c>
      <c r="G75" s="14">
        <v>10</v>
      </c>
      <c r="H75" s="15" t="s">
        <v>51</v>
      </c>
      <c r="I75" s="15" t="s">
        <v>108</v>
      </c>
      <c r="J75" s="15" t="s">
        <v>73</v>
      </c>
      <c r="K75" s="15" t="s">
        <v>117</v>
      </c>
      <c r="L75" s="16" t="s">
        <v>29</v>
      </c>
      <c r="M75" s="11"/>
      <c r="N75" s="11"/>
      <c r="O75" s="12"/>
      <c r="P75" s="11"/>
      <c r="Q75" s="13"/>
      <c r="R75" s="12"/>
      <c r="S75" s="13"/>
      <c r="T75" s="14" t="str">
        <f t="shared" si="2"/>
        <v/>
      </c>
    </row>
    <row r="76" spans="1:20" ht="30" customHeight="1" x14ac:dyDescent="0.4">
      <c r="A76" s="14">
        <v>73</v>
      </c>
      <c r="B76" s="15" t="s">
        <v>106</v>
      </c>
      <c r="C76" s="14" t="s">
        <v>107</v>
      </c>
      <c r="D76" s="14" t="s">
        <v>24</v>
      </c>
      <c r="E76" s="15" t="s">
        <v>37</v>
      </c>
      <c r="F76" s="14">
        <v>500</v>
      </c>
      <c r="G76" s="14">
        <v>10</v>
      </c>
      <c r="H76" s="15" t="s">
        <v>31</v>
      </c>
      <c r="I76" s="15" t="s">
        <v>108</v>
      </c>
      <c r="J76" s="15" t="s">
        <v>73</v>
      </c>
      <c r="K76" s="15" t="s">
        <v>118</v>
      </c>
      <c r="L76" s="16" t="s">
        <v>29</v>
      </c>
      <c r="M76" s="11"/>
      <c r="N76" s="11"/>
      <c r="O76" s="12"/>
      <c r="P76" s="11"/>
      <c r="Q76" s="13"/>
      <c r="R76" s="12"/>
      <c r="S76" s="13"/>
      <c r="T76" s="14" t="str">
        <f t="shared" si="2"/>
        <v/>
      </c>
    </row>
    <row r="77" spans="1:20" ht="45" customHeight="1" x14ac:dyDescent="0.4">
      <c r="A77" s="14">
        <v>74</v>
      </c>
      <c r="B77" s="15" t="s">
        <v>106</v>
      </c>
      <c r="C77" s="14" t="s">
        <v>107</v>
      </c>
      <c r="D77" s="14" t="s">
        <v>24</v>
      </c>
      <c r="E77" s="15" t="s">
        <v>37</v>
      </c>
      <c r="F77" s="14">
        <v>200</v>
      </c>
      <c r="G77" s="14">
        <v>10</v>
      </c>
      <c r="H77" s="15" t="s">
        <v>51</v>
      </c>
      <c r="I77" s="15" t="s">
        <v>108</v>
      </c>
      <c r="J77" s="15" t="s">
        <v>73</v>
      </c>
      <c r="K77" s="15" t="s">
        <v>119</v>
      </c>
      <c r="L77" s="16" t="s">
        <v>29</v>
      </c>
      <c r="M77" s="11"/>
      <c r="N77" s="11"/>
      <c r="O77" s="12"/>
      <c r="P77" s="11"/>
      <c r="Q77" s="13"/>
      <c r="R77" s="12"/>
      <c r="S77" s="13"/>
      <c r="T77" s="14" t="str">
        <f t="shared" si="2"/>
        <v/>
      </c>
    </row>
    <row r="78" spans="1:20" ht="30" customHeight="1" x14ac:dyDescent="0.4">
      <c r="A78" s="8">
        <v>75</v>
      </c>
      <c r="B78" s="9" t="s">
        <v>120</v>
      </c>
      <c r="C78" s="8" t="s">
        <v>121</v>
      </c>
      <c r="D78" s="8" t="s">
        <v>41</v>
      </c>
      <c r="E78" s="9" t="s">
        <v>37</v>
      </c>
      <c r="F78" s="8">
        <v>2000</v>
      </c>
      <c r="G78" s="8">
        <v>10</v>
      </c>
      <c r="H78" s="9"/>
      <c r="I78" s="9" t="s">
        <v>122</v>
      </c>
      <c r="J78" s="9" t="s">
        <v>67</v>
      </c>
      <c r="K78" s="9" t="s">
        <v>123</v>
      </c>
      <c r="L78" s="10" t="s">
        <v>29</v>
      </c>
      <c r="M78" s="11"/>
      <c r="N78" s="11"/>
      <c r="O78" s="12"/>
      <c r="P78" s="11"/>
      <c r="Q78" s="13"/>
      <c r="R78" s="12"/>
      <c r="S78" s="13"/>
      <c r="T78" s="8" t="str">
        <f t="shared" si="2"/>
        <v/>
      </c>
    </row>
    <row r="79" spans="1:20" ht="30" customHeight="1" x14ac:dyDescent="0.4">
      <c r="A79" s="17">
        <v>76</v>
      </c>
      <c r="B79" s="18" t="s">
        <v>120</v>
      </c>
      <c r="C79" s="17" t="s">
        <v>121</v>
      </c>
      <c r="D79" s="17" t="s">
        <v>41</v>
      </c>
      <c r="E79" s="18" t="s">
        <v>37</v>
      </c>
      <c r="F79" s="17">
        <v>1500</v>
      </c>
      <c r="G79" s="17">
        <v>10</v>
      </c>
      <c r="H79" s="18"/>
      <c r="I79" s="18" t="s">
        <v>122</v>
      </c>
      <c r="J79" s="18" t="s">
        <v>67</v>
      </c>
      <c r="K79" s="18" t="s">
        <v>124</v>
      </c>
      <c r="L79" s="19" t="s">
        <v>29</v>
      </c>
      <c r="M79" s="11"/>
      <c r="N79" s="11"/>
      <c r="O79" s="12"/>
      <c r="P79" s="11"/>
      <c r="Q79" s="13"/>
      <c r="R79" s="12"/>
      <c r="S79" s="13"/>
      <c r="T79" s="17" t="str">
        <f t="shared" si="2"/>
        <v/>
      </c>
    </row>
    <row r="80" spans="1:20" ht="15" customHeight="1" x14ac:dyDescent="0.4">
      <c r="A80" s="8">
        <v>77</v>
      </c>
      <c r="B80" s="9" t="s">
        <v>120</v>
      </c>
      <c r="C80" s="8" t="s">
        <v>121</v>
      </c>
      <c r="D80" s="8" t="s">
        <v>24</v>
      </c>
      <c r="E80" s="9" t="s">
        <v>25</v>
      </c>
      <c r="F80" s="8">
        <v>500</v>
      </c>
      <c r="G80" s="8"/>
      <c r="H80" s="9"/>
      <c r="I80" s="9" t="s">
        <v>122</v>
      </c>
      <c r="J80" s="9" t="s">
        <v>67</v>
      </c>
      <c r="K80" s="9" t="s">
        <v>125</v>
      </c>
      <c r="L80" s="10" t="s">
        <v>29</v>
      </c>
      <c r="M80" s="11"/>
      <c r="N80" s="11"/>
      <c r="O80" s="12"/>
      <c r="P80" s="11"/>
      <c r="Q80" s="13"/>
      <c r="R80" s="12"/>
      <c r="S80" s="13"/>
      <c r="T80" s="8" t="str">
        <f t="shared" si="2"/>
        <v/>
      </c>
    </row>
    <row r="81" spans="1:20" ht="45" customHeight="1" x14ac:dyDescent="0.4">
      <c r="A81" s="14">
        <v>78</v>
      </c>
      <c r="B81" s="15" t="s">
        <v>120</v>
      </c>
      <c r="C81" s="14" t="s">
        <v>121</v>
      </c>
      <c r="D81" s="14" t="s">
        <v>24</v>
      </c>
      <c r="E81" s="15" t="s">
        <v>30</v>
      </c>
      <c r="F81" s="14">
        <v>500</v>
      </c>
      <c r="G81" s="14">
        <v>10</v>
      </c>
      <c r="H81" s="15" t="s">
        <v>31</v>
      </c>
      <c r="I81" s="15" t="s">
        <v>122</v>
      </c>
      <c r="J81" s="15" t="s">
        <v>67</v>
      </c>
      <c r="K81" s="15" t="s">
        <v>126</v>
      </c>
      <c r="L81" s="16" t="s">
        <v>29</v>
      </c>
      <c r="M81" s="11"/>
      <c r="N81" s="11"/>
      <c r="O81" s="12"/>
      <c r="P81" s="11"/>
      <c r="Q81" s="13"/>
      <c r="R81" s="12"/>
      <c r="S81" s="13"/>
      <c r="T81" s="14" t="str">
        <f t="shared" si="2"/>
        <v/>
      </c>
    </row>
    <row r="82" spans="1:20" ht="15" customHeight="1" x14ac:dyDescent="0.4">
      <c r="A82" s="8">
        <v>79</v>
      </c>
      <c r="B82" s="9" t="s">
        <v>120</v>
      </c>
      <c r="C82" s="8" t="s">
        <v>121</v>
      </c>
      <c r="D82" s="8" t="s">
        <v>24</v>
      </c>
      <c r="E82" s="9" t="s">
        <v>30</v>
      </c>
      <c r="F82" s="8">
        <v>200</v>
      </c>
      <c r="G82" s="8">
        <v>10</v>
      </c>
      <c r="H82" s="9"/>
      <c r="I82" s="9" t="s">
        <v>122</v>
      </c>
      <c r="J82" s="9" t="s">
        <v>67</v>
      </c>
      <c r="K82" s="9" t="s">
        <v>127</v>
      </c>
      <c r="L82" s="10" t="s">
        <v>29</v>
      </c>
      <c r="M82" s="11"/>
      <c r="N82" s="11"/>
      <c r="O82" s="12"/>
      <c r="P82" s="11"/>
      <c r="Q82" s="13"/>
      <c r="R82" s="12"/>
      <c r="S82" s="13"/>
      <c r="T82" s="8" t="str">
        <f t="shared" si="2"/>
        <v/>
      </c>
    </row>
    <row r="83" spans="1:20" ht="15" customHeight="1" x14ac:dyDescent="0.4">
      <c r="A83" s="17">
        <v>80</v>
      </c>
      <c r="B83" s="18" t="s">
        <v>120</v>
      </c>
      <c r="C83" s="17" t="s">
        <v>121</v>
      </c>
      <c r="D83" s="17" t="s">
        <v>24</v>
      </c>
      <c r="E83" s="18" t="s">
        <v>30</v>
      </c>
      <c r="F83" s="17">
        <v>100</v>
      </c>
      <c r="G83" s="17">
        <v>10</v>
      </c>
      <c r="H83" s="18"/>
      <c r="I83" s="18" t="s">
        <v>122</v>
      </c>
      <c r="J83" s="18" t="s">
        <v>67</v>
      </c>
      <c r="K83" s="18" t="s">
        <v>128</v>
      </c>
      <c r="L83" s="19" t="s">
        <v>29</v>
      </c>
      <c r="M83" s="11"/>
      <c r="N83" s="11"/>
      <c r="O83" s="12"/>
      <c r="P83" s="11"/>
      <c r="Q83" s="13"/>
      <c r="R83" s="12"/>
      <c r="S83" s="13"/>
      <c r="T83" s="17" t="str">
        <f t="shared" si="2"/>
        <v/>
      </c>
    </row>
    <row r="84" spans="1:20" ht="45" customHeight="1" x14ac:dyDescent="0.4">
      <c r="A84" s="14">
        <v>81</v>
      </c>
      <c r="B84" s="15" t="s">
        <v>120</v>
      </c>
      <c r="C84" s="14" t="s">
        <v>121</v>
      </c>
      <c r="D84" s="14" t="s">
        <v>24</v>
      </c>
      <c r="E84" s="15" t="s">
        <v>37</v>
      </c>
      <c r="F84" s="14">
        <v>500</v>
      </c>
      <c r="G84" s="14">
        <v>10</v>
      </c>
      <c r="H84" s="15" t="s">
        <v>31</v>
      </c>
      <c r="I84" s="15" t="s">
        <v>122</v>
      </c>
      <c r="J84" s="15" t="s">
        <v>67</v>
      </c>
      <c r="K84" s="15" t="s">
        <v>126</v>
      </c>
      <c r="L84" s="16" t="s">
        <v>29</v>
      </c>
      <c r="M84" s="11"/>
      <c r="N84" s="11"/>
      <c r="O84" s="12"/>
      <c r="P84" s="11"/>
      <c r="Q84" s="13"/>
      <c r="R84" s="12"/>
      <c r="S84" s="13"/>
      <c r="T84" s="14" t="str">
        <f t="shared" si="2"/>
        <v/>
      </c>
    </row>
    <row r="85" spans="1:20" ht="15" customHeight="1" x14ac:dyDescent="0.4">
      <c r="A85" s="17">
        <v>82</v>
      </c>
      <c r="B85" s="18" t="s">
        <v>120</v>
      </c>
      <c r="C85" s="17" t="s">
        <v>121</v>
      </c>
      <c r="D85" s="17" t="s">
        <v>24</v>
      </c>
      <c r="E85" s="18" t="s">
        <v>37</v>
      </c>
      <c r="F85" s="17">
        <v>300</v>
      </c>
      <c r="G85" s="17">
        <v>10</v>
      </c>
      <c r="H85" s="18"/>
      <c r="I85" s="18" t="s">
        <v>122</v>
      </c>
      <c r="J85" s="18" t="s">
        <v>67</v>
      </c>
      <c r="K85" s="18" t="s">
        <v>129</v>
      </c>
      <c r="L85" s="19" t="s">
        <v>29</v>
      </c>
      <c r="M85" s="11"/>
      <c r="N85" s="11"/>
      <c r="O85" s="12"/>
      <c r="P85" s="11"/>
      <c r="Q85" s="13"/>
      <c r="R85" s="12"/>
      <c r="S85" s="13"/>
      <c r="T85" s="17" t="str">
        <f t="shared" si="2"/>
        <v/>
      </c>
    </row>
    <row r="86" spans="1:20" ht="15" customHeight="1" x14ac:dyDescent="0.4">
      <c r="A86" s="8">
        <v>83</v>
      </c>
      <c r="B86" s="9" t="s">
        <v>120</v>
      </c>
      <c r="C86" s="8" t="s">
        <v>121</v>
      </c>
      <c r="D86" s="8" t="s">
        <v>24</v>
      </c>
      <c r="E86" s="9" t="s">
        <v>37</v>
      </c>
      <c r="F86" s="8">
        <v>200</v>
      </c>
      <c r="G86" s="8">
        <v>10</v>
      </c>
      <c r="H86" s="9"/>
      <c r="I86" s="9" t="s">
        <v>122</v>
      </c>
      <c r="J86" s="9" t="s">
        <v>67</v>
      </c>
      <c r="K86" s="9" t="s">
        <v>127</v>
      </c>
      <c r="L86" s="10" t="s">
        <v>29</v>
      </c>
      <c r="M86" s="11"/>
      <c r="N86" s="11"/>
      <c r="O86" s="12"/>
      <c r="P86" s="11"/>
      <c r="Q86" s="13"/>
      <c r="R86" s="12"/>
      <c r="S86" s="13"/>
      <c r="T86" s="8" t="str">
        <f t="shared" si="2"/>
        <v/>
      </c>
    </row>
    <row r="87" spans="1:20" ht="15" customHeight="1" x14ac:dyDescent="0.4">
      <c r="A87" s="17">
        <v>84</v>
      </c>
      <c r="B87" s="18" t="s">
        <v>120</v>
      </c>
      <c r="C87" s="17" t="s">
        <v>121</v>
      </c>
      <c r="D87" s="17" t="s">
        <v>24</v>
      </c>
      <c r="E87" s="18" t="s">
        <v>37</v>
      </c>
      <c r="F87" s="17">
        <v>100</v>
      </c>
      <c r="G87" s="17">
        <v>10</v>
      </c>
      <c r="H87" s="18"/>
      <c r="I87" s="18" t="s">
        <v>122</v>
      </c>
      <c r="J87" s="18" t="s">
        <v>67</v>
      </c>
      <c r="K87" s="18" t="s">
        <v>128</v>
      </c>
      <c r="L87" s="19" t="s">
        <v>29</v>
      </c>
      <c r="M87" s="11"/>
      <c r="N87" s="11"/>
      <c r="O87" s="12"/>
      <c r="P87" s="11"/>
      <c r="Q87" s="13"/>
      <c r="R87" s="12"/>
      <c r="S87" s="13"/>
      <c r="T87" s="17" t="str">
        <f t="shared" si="2"/>
        <v/>
      </c>
    </row>
    <row r="88" spans="1:20" ht="15" customHeight="1" x14ac:dyDescent="0.4">
      <c r="A88" s="8">
        <v>85</v>
      </c>
      <c r="B88" s="9" t="s">
        <v>120</v>
      </c>
      <c r="C88" s="8" t="s">
        <v>121</v>
      </c>
      <c r="D88" s="8" t="s">
        <v>24</v>
      </c>
      <c r="E88" s="9" t="s">
        <v>37</v>
      </c>
      <c r="F88" s="8">
        <v>100</v>
      </c>
      <c r="G88" s="8">
        <v>10</v>
      </c>
      <c r="H88" s="9"/>
      <c r="I88" s="9" t="s">
        <v>122</v>
      </c>
      <c r="J88" s="9" t="s">
        <v>67</v>
      </c>
      <c r="K88" s="9" t="s">
        <v>130</v>
      </c>
      <c r="L88" s="10" t="s">
        <v>29</v>
      </c>
      <c r="M88" s="11"/>
      <c r="N88" s="11"/>
      <c r="O88" s="12"/>
      <c r="P88" s="11"/>
      <c r="Q88" s="13"/>
      <c r="R88" s="12"/>
      <c r="S88" s="13"/>
      <c r="T88" s="8" t="str">
        <f t="shared" si="2"/>
        <v/>
      </c>
    </row>
    <row r="89" spans="1:20" ht="15" customHeight="1" x14ac:dyDescent="0.4">
      <c r="A89" s="17">
        <v>86</v>
      </c>
      <c r="B89" s="18" t="s">
        <v>120</v>
      </c>
      <c r="C89" s="17" t="s">
        <v>121</v>
      </c>
      <c r="D89" s="17" t="s">
        <v>24</v>
      </c>
      <c r="E89" s="18" t="s">
        <v>37</v>
      </c>
      <c r="F89" s="17">
        <v>50</v>
      </c>
      <c r="G89" s="17">
        <v>10</v>
      </c>
      <c r="H89" s="18"/>
      <c r="I89" s="18" t="s">
        <v>122</v>
      </c>
      <c r="J89" s="18" t="s">
        <v>67</v>
      </c>
      <c r="K89" s="18" t="s">
        <v>131</v>
      </c>
      <c r="L89" s="19" t="s">
        <v>29</v>
      </c>
      <c r="M89" s="11"/>
      <c r="N89" s="11"/>
      <c r="O89" s="12"/>
      <c r="P89" s="11"/>
      <c r="Q89" s="13"/>
      <c r="R89" s="12"/>
      <c r="S89" s="13"/>
      <c r="T89" s="17" t="str">
        <f t="shared" si="2"/>
        <v/>
      </c>
    </row>
    <row r="90" spans="1:20" ht="45" customHeight="1" x14ac:dyDescent="0.4">
      <c r="A90" s="8">
        <v>87</v>
      </c>
      <c r="B90" s="9" t="s">
        <v>132</v>
      </c>
      <c r="C90" s="8" t="s">
        <v>133</v>
      </c>
      <c r="D90" s="8" t="s">
        <v>41</v>
      </c>
      <c r="E90" s="9" t="s">
        <v>42</v>
      </c>
      <c r="F90" s="8">
        <v>1000</v>
      </c>
      <c r="G90" s="8"/>
      <c r="H90" s="9"/>
      <c r="I90" s="9" t="s">
        <v>134</v>
      </c>
      <c r="J90" s="9" t="s">
        <v>135</v>
      </c>
      <c r="K90" s="9" t="s">
        <v>136</v>
      </c>
      <c r="L90" s="10" t="s">
        <v>29</v>
      </c>
      <c r="M90" s="11"/>
      <c r="N90" s="11"/>
      <c r="O90" s="12"/>
      <c r="P90" s="11"/>
      <c r="Q90" s="13"/>
      <c r="R90" s="12"/>
      <c r="S90" s="13"/>
      <c r="T90" s="8" t="str">
        <f t="shared" si="2"/>
        <v/>
      </c>
    </row>
    <row r="91" spans="1:20" ht="15" customHeight="1" x14ac:dyDescent="0.4">
      <c r="A91" s="17">
        <v>88</v>
      </c>
      <c r="B91" s="18" t="s">
        <v>132</v>
      </c>
      <c r="C91" s="17" t="s">
        <v>133</v>
      </c>
      <c r="D91" s="17" t="s">
        <v>41</v>
      </c>
      <c r="E91" s="18" t="s">
        <v>35</v>
      </c>
      <c r="F91" s="17">
        <v>700</v>
      </c>
      <c r="G91" s="17"/>
      <c r="H91" s="18"/>
      <c r="I91" s="18" t="s">
        <v>134</v>
      </c>
      <c r="J91" s="18" t="s">
        <v>135</v>
      </c>
      <c r="K91" s="18" t="s">
        <v>137</v>
      </c>
      <c r="L91" s="19" t="s">
        <v>29</v>
      </c>
      <c r="M91" s="11"/>
      <c r="N91" s="11"/>
      <c r="O91" s="12"/>
      <c r="P91" s="11"/>
      <c r="Q91" s="13"/>
      <c r="R91" s="12"/>
      <c r="S91" s="13"/>
      <c r="T91" s="17" t="str">
        <f t="shared" si="2"/>
        <v/>
      </c>
    </row>
    <row r="92" spans="1:20" ht="45" customHeight="1" x14ac:dyDescent="0.4">
      <c r="A92" s="8">
        <v>89</v>
      </c>
      <c r="B92" s="9" t="s">
        <v>132</v>
      </c>
      <c r="C92" s="8" t="s">
        <v>133</v>
      </c>
      <c r="D92" s="8" t="s">
        <v>41</v>
      </c>
      <c r="E92" s="9" t="s">
        <v>49</v>
      </c>
      <c r="F92" s="8">
        <v>1000</v>
      </c>
      <c r="G92" s="8"/>
      <c r="H92" s="9"/>
      <c r="I92" s="9" t="s">
        <v>134</v>
      </c>
      <c r="J92" s="9" t="s">
        <v>135</v>
      </c>
      <c r="K92" s="9" t="s">
        <v>136</v>
      </c>
      <c r="L92" s="10" t="s">
        <v>29</v>
      </c>
      <c r="M92" s="11"/>
      <c r="N92" s="11"/>
      <c r="O92" s="12"/>
      <c r="P92" s="11"/>
      <c r="Q92" s="13"/>
      <c r="R92" s="12"/>
      <c r="S92" s="13"/>
      <c r="T92" s="8" t="str">
        <f t="shared" si="2"/>
        <v/>
      </c>
    </row>
    <row r="93" spans="1:20" ht="30" customHeight="1" x14ac:dyDescent="0.4">
      <c r="A93" s="14">
        <v>90</v>
      </c>
      <c r="B93" s="15" t="s">
        <v>132</v>
      </c>
      <c r="C93" s="14" t="s">
        <v>133</v>
      </c>
      <c r="D93" s="14" t="s">
        <v>41</v>
      </c>
      <c r="E93" s="15" t="s">
        <v>37</v>
      </c>
      <c r="F93" s="14">
        <v>700</v>
      </c>
      <c r="G93" s="14">
        <v>10</v>
      </c>
      <c r="H93" s="15" t="s">
        <v>31</v>
      </c>
      <c r="I93" s="15" t="s">
        <v>134</v>
      </c>
      <c r="J93" s="15" t="s">
        <v>135</v>
      </c>
      <c r="K93" s="15" t="s">
        <v>138</v>
      </c>
      <c r="L93" s="16" t="s">
        <v>29</v>
      </c>
      <c r="M93" s="11"/>
      <c r="N93" s="11"/>
      <c r="O93" s="12"/>
      <c r="P93" s="11"/>
      <c r="Q93" s="13"/>
      <c r="R93" s="12"/>
      <c r="S93" s="13"/>
      <c r="T93" s="14" t="str">
        <f t="shared" si="2"/>
        <v/>
      </c>
    </row>
    <row r="94" spans="1:20" ht="45" customHeight="1" x14ac:dyDescent="0.4">
      <c r="A94" s="14">
        <v>91</v>
      </c>
      <c r="B94" s="15" t="s">
        <v>132</v>
      </c>
      <c r="C94" s="14" t="s">
        <v>133</v>
      </c>
      <c r="D94" s="14" t="s">
        <v>41</v>
      </c>
      <c r="E94" s="15" t="s">
        <v>53</v>
      </c>
      <c r="F94" s="14">
        <v>100</v>
      </c>
      <c r="G94" s="14">
        <v>1</v>
      </c>
      <c r="H94" s="15" t="s">
        <v>58</v>
      </c>
      <c r="I94" s="15" t="s">
        <v>134</v>
      </c>
      <c r="J94" s="15" t="s">
        <v>135</v>
      </c>
      <c r="K94" s="15" t="s">
        <v>139</v>
      </c>
      <c r="L94" s="16" t="s">
        <v>29</v>
      </c>
      <c r="M94" s="11"/>
      <c r="N94" s="11"/>
      <c r="O94" s="12"/>
      <c r="P94" s="11"/>
      <c r="Q94" s="13"/>
      <c r="R94" s="12"/>
      <c r="S94" s="13"/>
      <c r="T94" s="14" t="str">
        <f t="shared" si="2"/>
        <v/>
      </c>
    </row>
    <row r="95" spans="1:20" ht="15" customHeight="1" x14ac:dyDescent="0.4">
      <c r="A95" s="17">
        <v>92</v>
      </c>
      <c r="B95" s="18" t="s">
        <v>132</v>
      </c>
      <c r="C95" s="17" t="s">
        <v>133</v>
      </c>
      <c r="D95" s="17" t="s">
        <v>24</v>
      </c>
      <c r="E95" s="18" t="s">
        <v>25</v>
      </c>
      <c r="F95" s="17">
        <v>500</v>
      </c>
      <c r="G95" s="17"/>
      <c r="H95" s="18"/>
      <c r="I95" s="18" t="s">
        <v>134</v>
      </c>
      <c r="J95" s="18" t="s">
        <v>135</v>
      </c>
      <c r="K95" s="18" t="s">
        <v>140</v>
      </c>
      <c r="L95" s="19" t="s">
        <v>29</v>
      </c>
      <c r="M95" s="11"/>
      <c r="N95" s="11"/>
      <c r="O95" s="12"/>
      <c r="P95" s="11"/>
      <c r="Q95" s="13"/>
      <c r="R95" s="12"/>
      <c r="S95" s="13"/>
      <c r="T95" s="17" t="str">
        <f t="shared" si="2"/>
        <v/>
      </c>
    </row>
    <row r="96" spans="1:20" ht="75" customHeight="1" x14ac:dyDescent="0.4">
      <c r="A96" s="8">
        <v>93</v>
      </c>
      <c r="B96" s="9" t="s">
        <v>132</v>
      </c>
      <c r="C96" s="8" t="s">
        <v>133</v>
      </c>
      <c r="D96" s="8" t="s">
        <v>24</v>
      </c>
      <c r="E96" s="9" t="s">
        <v>25</v>
      </c>
      <c r="F96" s="8">
        <v>100</v>
      </c>
      <c r="G96" s="8"/>
      <c r="H96" s="9"/>
      <c r="I96" s="9" t="s">
        <v>134</v>
      </c>
      <c r="J96" s="9" t="s">
        <v>135</v>
      </c>
      <c r="K96" s="9" t="s">
        <v>141</v>
      </c>
      <c r="L96" s="10" t="s">
        <v>29</v>
      </c>
      <c r="M96" s="11"/>
      <c r="N96" s="11"/>
      <c r="O96" s="12"/>
      <c r="P96" s="11"/>
      <c r="Q96" s="13"/>
      <c r="R96" s="12"/>
      <c r="S96" s="13"/>
      <c r="T96" s="8" t="str">
        <f t="shared" si="2"/>
        <v/>
      </c>
    </row>
    <row r="97" spans="1:20" ht="30" customHeight="1" x14ac:dyDescent="0.4">
      <c r="A97" s="17">
        <v>94</v>
      </c>
      <c r="B97" s="18" t="s">
        <v>132</v>
      </c>
      <c r="C97" s="17" t="s">
        <v>133</v>
      </c>
      <c r="D97" s="17" t="s">
        <v>24</v>
      </c>
      <c r="E97" s="18" t="s">
        <v>30</v>
      </c>
      <c r="F97" s="17">
        <v>100</v>
      </c>
      <c r="G97" s="17"/>
      <c r="H97" s="18"/>
      <c r="I97" s="18" t="s">
        <v>134</v>
      </c>
      <c r="J97" s="18" t="s">
        <v>135</v>
      </c>
      <c r="K97" s="18" t="s">
        <v>142</v>
      </c>
      <c r="L97" s="19" t="s">
        <v>29</v>
      </c>
      <c r="M97" s="11"/>
      <c r="N97" s="11"/>
      <c r="O97" s="12"/>
      <c r="P97" s="11"/>
      <c r="Q97" s="13"/>
      <c r="R97" s="12"/>
      <c r="S97" s="13"/>
      <c r="T97" s="17" t="str">
        <f t="shared" si="2"/>
        <v/>
      </c>
    </row>
    <row r="98" spans="1:20" ht="15" customHeight="1" x14ac:dyDescent="0.4">
      <c r="A98" s="8">
        <v>95</v>
      </c>
      <c r="B98" s="9" t="s">
        <v>132</v>
      </c>
      <c r="C98" s="8" t="s">
        <v>133</v>
      </c>
      <c r="D98" s="8" t="s">
        <v>24</v>
      </c>
      <c r="E98" s="9" t="s">
        <v>35</v>
      </c>
      <c r="F98" s="8">
        <v>500</v>
      </c>
      <c r="G98" s="8"/>
      <c r="H98" s="9"/>
      <c r="I98" s="9" t="s">
        <v>134</v>
      </c>
      <c r="J98" s="9" t="s">
        <v>135</v>
      </c>
      <c r="K98" s="9" t="s">
        <v>143</v>
      </c>
      <c r="L98" s="10" t="s">
        <v>29</v>
      </c>
      <c r="M98" s="11"/>
      <c r="N98" s="11"/>
      <c r="O98" s="12"/>
      <c r="P98" s="11"/>
      <c r="Q98" s="13"/>
      <c r="R98" s="12"/>
      <c r="S98" s="13"/>
      <c r="T98" s="8" t="str">
        <f t="shared" si="2"/>
        <v/>
      </c>
    </row>
    <row r="99" spans="1:20" ht="75" customHeight="1" x14ac:dyDescent="0.4">
      <c r="A99" s="17">
        <v>96</v>
      </c>
      <c r="B99" s="18" t="s">
        <v>132</v>
      </c>
      <c r="C99" s="17" t="s">
        <v>133</v>
      </c>
      <c r="D99" s="17" t="s">
        <v>24</v>
      </c>
      <c r="E99" s="18" t="s">
        <v>35</v>
      </c>
      <c r="F99" s="17">
        <v>100</v>
      </c>
      <c r="G99" s="17"/>
      <c r="H99" s="18"/>
      <c r="I99" s="18" t="s">
        <v>134</v>
      </c>
      <c r="J99" s="18" t="s">
        <v>135</v>
      </c>
      <c r="K99" s="18" t="s">
        <v>141</v>
      </c>
      <c r="L99" s="19" t="s">
        <v>29</v>
      </c>
      <c r="M99" s="11"/>
      <c r="N99" s="11"/>
      <c r="O99" s="12"/>
      <c r="P99" s="11"/>
      <c r="Q99" s="13"/>
      <c r="R99" s="12"/>
      <c r="S99" s="13"/>
      <c r="T99" s="17" t="str">
        <f t="shared" si="2"/>
        <v/>
      </c>
    </row>
    <row r="100" spans="1:20" ht="30" customHeight="1" x14ac:dyDescent="0.4">
      <c r="A100" s="14">
        <v>97</v>
      </c>
      <c r="B100" s="15" t="s">
        <v>132</v>
      </c>
      <c r="C100" s="14" t="s">
        <v>133</v>
      </c>
      <c r="D100" s="14" t="s">
        <v>24</v>
      </c>
      <c r="E100" s="15" t="s">
        <v>37</v>
      </c>
      <c r="F100" s="14">
        <v>500</v>
      </c>
      <c r="G100" s="14">
        <v>10</v>
      </c>
      <c r="H100" s="15" t="s">
        <v>31</v>
      </c>
      <c r="I100" s="15" t="s">
        <v>134</v>
      </c>
      <c r="J100" s="15" t="s">
        <v>135</v>
      </c>
      <c r="K100" s="15" t="s">
        <v>144</v>
      </c>
      <c r="L100" s="16" t="s">
        <v>29</v>
      </c>
      <c r="M100" s="11"/>
      <c r="N100" s="11"/>
      <c r="O100" s="12"/>
      <c r="P100" s="11"/>
      <c r="Q100" s="13"/>
      <c r="R100" s="12"/>
      <c r="S100" s="13"/>
      <c r="T100" s="14" t="str">
        <f t="shared" ref="T100:T131" si="3">IF(M100="","",IF(M100=F100,"일치","변경"))</f>
        <v/>
      </c>
    </row>
    <row r="101" spans="1:20" ht="90" customHeight="1" x14ac:dyDescent="0.4">
      <c r="A101" s="14">
        <v>98</v>
      </c>
      <c r="B101" s="15" t="s">
        <v>132</v>
      </c>
      <c r="C101" s="14" t="s">
        <v>133</v>
      </c>
      <c r="D101" s="14" t="s">
        <v>24</v>
      </c>
      <c r="E101" s="15" t="s">
        <v>53</v>
      </c>
      <c r="F101" s="14">
        <v>100</v>
      </c>
      <c r="G101" s="14">
        <v>1</v>
      </c>
      <c r="H101" s="15" t="s">
        <v>58</v>
      </c>
      <c r="I101" s="15" t="s">
        <v>134</v>
      </c>
      <c r="J101" s="15" t="s">
        <v>135</v>
      </c>
      <c r="K101" s="15" t="s">
        <v>145</v>
      </c>
      <c r="L101" s="16" t="s">
        <v>29</v>
      </c>
      <c r="M101" s="11"/>
      <c r="N101" s="11"/>
      <c r="O101" s="12"/>
      <c r="P101" s="11"/>
      <c r="Q101" s="13"/>
      <c r="R101" s="12"/>
      <c r="S101" s="13"/>
      <c r="T101" s="14" t="str">
        <f t="shared" si="3"/>
        <v/>
      </c>
    </row>
    <row r="102" spans="1:20" ht="30" customHeight="1" x14ac:dyDescent="0.4">
      <c r="A102" s="14">
        <v>99</v>
      </c>
      <c r="B102" s="15" t="s">
        <v>146</v>
      </c>
      <c r="C102" s="14" t="s">
        <v>147</v>
      </c>
      <c r="D102" s="14" t="s">
        <v>24</v>
      </c>
      <c r="E102" s="15" t="s">
        <v>37</v>
      </c>
      <c r="F102" s="14">
        <v>300</v>
      </c>
      <c r="G102" s="14">
        <v>5</v>
      </c>
      <c r="H102" s="15" t="s">
        <v>31</v>
      </c>
      <c r="I102" s="15" t="s">
        <v>148</v>
      </c>
      <c r="J102" s="15" t="s">
        <v>149</v>
      </c>
      <c r="K102" s="15" t="s">
        <v>150</v>
      </c>
      <c r="L102" s="16" t="s">
        <v>29</v>
      </c>
      <c r="M102" s="11"/>
      <c r="N102" s="11"/>
      <c r="O102" s="12"/>
      <c r="P102" s="11"/>
      <c r="Q102" s="13"/>
      <c r="R102" s="12"/>
      <c r="S102" s="13"/>
      <c r="T102" s="14" t="str">
        <f t="shared" si="3"/>
        <v/>
      </c>
    </row>
    <row r="103" spans="1:20" ht="15" customHeight="1" x14ac:dyDescent="0.4">
      <c r="A103" s="17">
        <v>100</v>
      </c>
      <c r="B103" s="18" t="s">
        <v>146</v>
      </c>
      <c r="C103" s="17" t="s">
        <v>147</v>
      </c>
      <c r="D103" s="17" t="s">
        <v>24</v>
      </c>
      <c r="E103" s="18" t="s">
        <v>53</v>
      </c>
      <c r="F103" s="17">
        <v>100</v>
      </c>
      <c r="G103" s="17">
        <v>5</v>
      </c>
      <c r="H103" s="18"/>
      <c r="I103" s="18" t="s">
        <v>148</v>
      </c>
      <c r="J103" s="18" t="s">
        <v>149</v>
      </c>
      <c r="K103" s="18" t="s">
        <v>151</v>
      </c>
      <c r="L103" s="19" t="s">
        <v>29</v>
      </c>
      <c r="M103" s="11"/>
      <c r="N103" s="11"/>
      <c r="O103" s="12"/>
      <c r="P103" s="11"/>
      <c r="Q103" s="13"/>
      <c r="R103" s="12"/>
      <c r="S103" s="13"/>
      <c r="T103" s="17" t="str">
        <f t="shared" si="3"/>
        <v/>
      </c>
    </row>
    <row r="104" spans="1:20" ht="30" customHeight="1" x14ac:dyDescent="0.4">
      <c r="A104" s="8">
        <v>101</v>
      </c>
      <c r="B104" s="9" t="s">
        <v>152</v>
      </c>
      <c r="C104" s="8" t="s">
        <v>153</v>
      </c>
      <c r="D104" s="8" t="s">
        <v>41</v>
      </c>
      <c r="E104" s="9" t="s">
        <v>42</v>
      </c>
      <c r="F104" s="8">
        <v>1500</v>
      </c>
      <c r="G104" s="8"/>
      <c r="H104" s="9"/>
      <c r="I104" s="9" t="s">
        <v>154</v>
      </c>
      <c r="J104" s="9" t="s">
        <v>155</v>
      </c>
      <c r="K104" s="9" t="s">
        <v>109</v>
      </c>
      <c r="L104" s="10" t="s">
        <v>29</v>
      </c>
      <c r="M104" s="11"/>
      <c r="N104" s="11"/>
      <c r="O104" s="12"/>
      <c r="P104" s="11"/>
      <c r="Q104" s="13"/>
      <c r="R104" s="12"/>
      <c r="S104" s="13"/>
      <c r="T104" s="8" t="str">
        <f t="shared" si="3"/>
        <v/>
      </c>
    </row>
    <row r="105" spans="1:20" ht="15" customHeight="1" x14ac:dyDescent="0.4">
      <c r="A105" s="17">
        <v>102</v>
      </c>
      <c r="B105" s="18" t="s">
        <v>152</v>
      </c>
      <c r="C105" s="17" t="s">
        <v>153</v>
      </c>
      <c r="D105" s="17" t="s">
        <v>41</v>
      </c>
      <c r="E105" s="18" t="s">
        <v>35</v>
      </c>
      <c r="F105" s="17">
        <v>1000</v>
      </c>
      <c r="G105" s="17"/>
      <c r="H105" s="18"/>
      <c r="I105" s="18" t="s">
        <v>154</v>
      </c>
      <c r="J105" s="18" t="s">
        <v>155</v>
      </c>
      <c r="K105" s="18" t="s">
        <v>110</v>
      </c>
      <c r="L105" s="19" t="s">
        <v>29</v>
      </c>
      <c r="M105" s="11"/>
      <c r="N105" s="11"/>
      <c r="O105" s="12"/>
      <c r="P105" s="11"/>
      <c r="Q105" s="13"/>
      <c r="R105" s="12"/>
      <c r="S105" s="13"/>
      <c r="T105" s="17" t="str">
        <f t="shared" si="3"/>
        <v/>
      </c>
    </row>
    <row r="106" spans="1:20" ht="30" customHeight="1" x14ac:dyDescent="0.4">
      <c r="A106" s="8">
        <v>103</v>
      </c>
      <c r="B106" s="9" t="s">
        <v>152</v>
      </c>
      <c r="C106" s="8" t="s">
        <v>153</v>
      </c>
      <c r="D106" s="8" t="s">
        <v>41</v>
      </c>
      <c r="E106" s="9" t="s">
        <v>49</v>
      </c>
      <c r="F106" s="8">
        <v>1500</v>
      </c>
      <c r="G106" s="8"/>
      <c r="H106" s="9"/>
      <c r="I106" s="9" t="s">
        <v>154</v>
      </c>
      <c r="J106" s="9" t="s">
        <v>155</v>
      </c>
      <c r="K106" s="9" t="s">
        <v>109</v>
      </c>
      <c r="L106" s="10" t="s">
        <v>29</v>
      </c>
      <c r="M106" s="11"/>
      <c r="N106" s="11"/>
      <c r="O106" s="12"/>
      <c r="P106" s="11"/>
      <c r="Q106" s="13"/>
      <c r="R106" s="12"/>
      <c r="S106" s="13"/>
      <c r="T106" s="8" t="str">
        <f t="shared" si="3"/>
        <v/>
      </c>
    </row>
    <row r="107" spans="1:20" ht="30" customHeight="1" x14ac:dyDescent="0.4">
      <c r="A107" s="14">
        <v>104</v>
      </c>
      <c r="B107" s="15" t="s">
        <v>152</v>
      </c>
      <c r="C107" s="14" t="s">
        <v>153</v>
      </c>
      <c r="D107" s="14" t="s">
        <v>41</v>
      </c>
      <c r="E107" s="15" t="s">
        <v>37</v>
      </c>
      <c r="F107" s="14">
        <v>1000</v>
      </c>
      <c r="G107" s="14">
        <v>10</v>
      </c>
      <c r="H107" s="15" t="s">
        <v>31</v>
      </c>
      <c r="I107" s="15" t="s">
        <v>154</v>
      </c>
      <c r="J107" s="15" t="s">
        <v>155</v>
      </c>
      <c r="K107" s="15" t="s">
        <v>156</v>
      </c>
      <c r="L107" s="16" t="s">
        <v>29</v>
      </c>
      <c r="M107" s="11"/>
      <c r="N107" s="11"/>
      <c r="O107" s="12"/>
      <c r="P107" s="11"/>
      <c r="Q107" s="13"/>
      <c r="R107" s="12"/>
      <c r="S107" s="13"/>
      <c r="T107" s="14" t="str">
        <f t="shared" si="3"/>
        <v/>
      </c>
    </row>
    <row r="108" spans="1:20" ht="15" customHeight="1" x14ac:dyDescent="0.4">
      <c r="A108" s="8">
        <v>105</v>
      </c>
      <c r="B108" s="9" t="s">
        <v>152</v>
      </c>
      <c r="C108" s="8" t="s">
        <v>153</v>
      </c>
      <c r="D108" s="8" t="s">
        <v>24</v>
      </c>
      <c r="E108" s="9" t="s">
        <v>25</v>
      </c>
      <c r="F108" s="8">
        <v>500</v>
      </c>
      <c r="G108" s="8"/>
      <c r="H108" s="9"/>
      <c r="I108" s="9" t="s">
        <v>154</v>
      </c>
      <c r="J108" s="9" t="s">
        <v>155</v>
      </c>
      <c r="K108" s="9" t="s">
        <v>157</v>
      </c>
      <c r="L108" s="10" t="s">
        <v>29</v>
      </c>
      <c r="M108" s="11"/>
      <c r="N108" s="11"/>
      <c r="O108" s="12"/>
      <c r="P108" s="11"/>
      <c r="Q108" s="13"/>
      <c r="R108" s="12"/>
      <c r="S108" s="13"/>
      <c r="T108" s="8" t="str">
        <f t="shared" si="3"/>
        <v/>
      </c>
    </row>
    <row r="109" spans="1:20" ht="45" customHeight="1" x14ac:dyDescent="0.4">
      <c r="A109" s="14">
        <v>106</v>
      </c>
      <c r="B109" s="15" t="s">
        <v>152</v>
      </c>
      <c r="C109" s="14" t="s">
        <v>153</v>
      </c>
      <c r="D109" s="14" t="s">
        <v>24</v>
      </c>
      <c r="E109" s="15" t="s">
        <v>30</v>
      </c>
      <c r="F109" s="14">
        <v>500</v>
      </c>
      <c r="G109" s="14">
        <v>1</v>
      </c>
      <c r="H109" s="15" t="s">
        <v>58</v>
      </c>
      <c r="I109" s="15" t="s">
        <v>154</v>
      </c>
      <c r="J109" s="15" t="s">
        <v>155</v>
      </c>
      <c r="K109" s="15" t="s">
        <v>158</v>
      </c>
      <c r="L109" s="16" t="s">
        <v>29</v>
      </c>
      <c r="M109" s="11"/>
      <c r="N109" s="11"/>
      <c r="O109" s="12"/>
      <c r="P109" s="11"/>
      <c r="Q109" s="13"/>
      <c r="R109" s="12"/>
      <c r="S109" s="13"/>
      <c r="T109" s="14" t="str">
        <f t="shared" si="3"/>
        <v/>
      </c>
    </row>
    <row r="110" spans="1:20" ht="30" customHeight="1" x14ac:dyDescent="0.4">
      <c r="A110" s="8">
        <v>107</v>
      </c>
      <c r="B110" s="9" t="s">
        <v>152</v>
      </c>
      <c r="C110" s="8" t="s">
        <v>153</v>
      </c>
      <c r="D110" s="8" t="s">
        <v>24</v>
      </c>
      <c r="E110" s="9" t="s">
        <v>30</v>
      </c>
      <c r="F110" s="8">
        <v>200</v>
      </c>
      <c r="G110" s="8"/>
      <c r="H110" s="9"/>
      <c r="I110" s="9" t="s">
        <v>154</v>
      </c>
      <c r="J110" s="9" t="s">
        <v>155</v>
      </c>
      <c r="K110" s="9" t="s">
        <v>159</v>
      </c>
      <c r="L110" s="10" t="s">
        <v>29</v>
      </c>
      <c r="M110" s="11"/>
      <c r="N110" s="11"/>
      <c r="O110" s="12"/>
      <c r="P110" s="11"/>
      <c r="Q110" s="13"/>
      <c r="R110" s="12"/>
      <c r="S110" s="13"/>
      <c r="T110" s="8" t="str">
        <f t="shared" si="3"/>
        <v/>
      </c>
    </row>
    <row r="111" spans="1:20" ht="30" customHeight="1" x14ac:dyDescent="0.4">
      <c r="A111" s="17">
        <v>108</v>
      </c>
      <c r="B111" s="18" t="s">
        <v>152</v>
      </c>
      <c r="C111" s="17" t="s">
        <v>153</v>
      </c>
      <c r="D111" s="17" t="s">
        <v>24</v>
      </c>
      <c r="E111" s="18" t="s">
        <v>30</v>
      </c>
      <c r="F111" s="17">
        <v>100</v>
      </c>
      <c r="G111" s="17"/>
      <c r="H111" s="18"/>
      <c r="I111" s="18" t="s">
        <v>154</v>
      </c>
      <c r="J111" s="18" t="s">
        <v>155</v>
      </c>
      <c r="K111" s="18" t="s">
        <v>160</v>
      </c>
      <c r="L111" s="19" t="s">
        <v>29</v>
      </c>
      <c r="M111" s="11"/>
      <c r="N111" s="11"/>
      <c r="O111" s="12"/>
      <c r="P111" s="11"/>
      <c r="Q111" s="13"/>
      <c r="R111" s="12"/>
      <c r="S111" s="13"/>
      <c r="T111" s="17" t="str">
        <f t="shared" si="3"/>
        <v/>
      </c>
    </row>
    <row r="112" spans="1:20" ht="15" customHeight="1" x14ac:dyDescent="0.4">
      <c r="A112" s="8">
        <v>109</v>
      </c>
      <c r="B112" s="9" t="s">
        <v>152</v>
      </c>
      <c r="C112" s="8" t="s">
        <v>153</v>
      </c>
      <c r="D112" s="8" t="s">
        <v>24</v>
      </c>
      <c r="E112" s="9" t="s">
        <v>35</v>
      </c>
      <c r="F112" s="8">
        <v>200</v>
      </c>
      <c r="G112" s="8"/>
      <c r="H112" s="9"/>
      <c r="I112" s="9" t="s">
        <v>154</v>
      </c>
      <c r="J112" s="9" t="s">
        <v>155</v>
      </c>
      <c r="K112" s="9" t="s">
        <v>161</v>
      </c>
      <c r="L112" s="10" t="s">
        <v>29</v>
      </c>
      <c r="M112" s="11"/>
      <c r="N112" s="11"/>
      <c r="O112" s="12"/>
      <c r="P112" s="11"/>
      <c r="Q112" s="13"/>
      <c r="R112" s="12"/>
      <c r="S112" s="13"/>
      <c r="T112" s="8" t="str">
        <f t="shared" si="3"/>
        <v/>
      </c>
    </row>
    <row r="113" spans="1:20" ht="45" customHeight="1" x14ac:dyDescent="0.4">
      <c r="A113" s="14">
        <v>110</v>
      </c>
      <c r="B113" s="15" t="s">
        <v>152</v>
      </c>
      <c r="C113" s="14" t="s">
        <v>153</v>
      </c>
      <c r="D113" s="14" t="s">
        <v>24</v>
      </c>
      <c r="E113" s="15" t="s">
        <v>37</v>
      </c>
      <c r="F113" s="14">
        <v>200</v>
      </c>
      <c r="G113" s="14">
        <v>10</v>
      </c>
      <c r="H113" s="15" t="s">
        <v>31</v>
      </c>
      <c r="I113" s="15" t="s">
        <v>154</v>
      </c>
      <c r="J113" s="15" t="s">
        <v>155</v>
      </c>
      <c r="K113" s="15" t="s">
        <v>162</v>
      </c>
      <c r="L113" s="16" t="s">
        <v>29</v>
      </c>
      <c r="M113" s="11"/>
      <c r="N113" s="11"/>
      <c r="O113" s="12"/>
      <c r="P113" s="11"/>
      <c r="Q113" s="13"/>
      <c r="R113" s="12"/>
      <c r="S113" s="13"/>
      <c r="T113" s="14" t="str">
        <f t="shared" si="3"/>
        <v/>
      </c>
    </row>
    <row r="114" spans="1:20" ht="30" customHeight="1" x14ac:dyDescent="0.4">
      <c r="A114" s="8">
        <v>111</v>
      </c>
      <c r="B114" s="9" t="s">
        <v>152</v>
      </c>
      <c r="C114" s="8" t="s">
        <v>153</v>
      </c>
      <c r="D114" s="8" t="s">
        <v>24</v>
      </c>
      <c r="E114" s="9" t="s">
        <v>37</v>
      </c>
      <c r="F114" s="8">
        <v>100</v>
      </c>
      <c r="G114" s="8">
        <v>10</v>
      </c>
      <c r="H114" s="9"/>
      <c r="I114" s="9" t="s">
        <v>154</v>
      </c>
      <c r="J114" s="9" t="s">
        <v>155</v>
      </c>
      <c r="K114" s="9" t="s">
        <v>163</v>
      </c>
      <c r="L114" s="10" t="s">
        <v>29</v>
      </c>
      <c r="M114" s="11"/>
      <c r="N114" s="11"/>
      <c r="O114" s="12"/>
      <c r="P114" s="11"/>
      <c r="Q114" s="13"/>
      <c r="R114" s="12"/>
      <c r="S114" s="13"/>
      <c r="T114" s="8" t="str">
        <f t="shared" si="3"/>
        <v/>
      </c>
    </row>
    <row r="115" spans="1:20" ht="30" customHeight="1" x14ac:dyDescent="0.4">
      <c r="A115" s="17">
        <v>112</v>
      </c>
      <c r="B115" s="18" t="s">
        <v>152</v>
      </c>
      <c r="C115" s="17" t="s">
        <v>153</v>
      </c>
      <c r="D115" s="17" t="s">
        <v>24</v>
      </c>
      <c r="E115" s="18" t="s">
        <v>37</v>
      </c>
      <c r="F115" s="17">
        <v>50</v>
      </c>
      <c r="G115" s="17">
        <v>10</v>
      </c>
      <c r="H115" s="18"/>
      <c r="I115" s="18" t="s">
        <v>154</v>
      </c>
      <c r="J115" s="18" t="s">
        <v>155</v>
      </c>
      <c r="K115" s="18" t="s">
        <v>164</v>
      </c>
      <c r="L115" s="19" t="s">
        <v>29</v>
      </c>
      <c r="M115" s="11"/>
      <c r="N115" s="11"/>
      <c r="O115" s="12"/>
      <c r="P115" s="11"/>
      <c r="Q115" s="13"/>
      <c r="R115" s="12"/>
      <c r="S115" s="13"/>
      <c r="T115" s="17" t="str">
        <f t="shared" si="3"/>
        <v/>
      </c>
    </row>
    <row r="116" spans="1:20" ht="30" customHeight="1" x14ac:dyDescent="0.4">
      <c r="A116" s="14">
        <v>113</v>
      </c>
      <c r="B116" s="15" t="s">
        <v>165</v>
      </c>
      <c r="C116" s="14" t="s">
        <v>166</v>
      </c>
      <c r="D116" s="14" t="s">
        <v>24</v>
      </c>
      <c r="E116" s="15" t="s">
        <v>75</v>
      </c>
      <c r="F116" s="14">
        <v>300</v>
      </c>
      <c r="G116" s="14">
        <v>10</v>
      </c>
      <c r="H116" s="15" t="s">
        <v>31</v>
      </c>
      <c r="I116" s="15" t="s">
        <v>167</v>
      </c>
      <c r="J116" s="15" t="s">
        <v>67</v>
      </c>
      <c r="K116" s="15" t="s">
        <v>168</v>
      </c>
      <c r="L116" s="16" t="s">
        <v>29</v>
      </c>
      <c r="M116" s="11"/>
      <c r="N116" s="11"/>
      <c r="O116" s="12"/>
      <c r="P116" s="11"/>
      <c r="Q116" s="13"/>
      <c r="R116" s="12"/>
      <c r="S116" s="13"/>
      <c r="T116" s="14" t="str">
        <f t="shared" si="3"/>
        <v/>
      </c>
    </row>
    <row r="117" spans="1:20" ht="15" customHeight="1" x14ac:dyDescent="0.4">
      <c r="A117" s="17">
        <v>114</v>
      </c>
      <c r="B117" s="18" t="s">
        <v>165</v>
      </c>
      <c r="C117" s="17" t="s">
        <v>166</v>
      </c>
      <c r="D117" s="17" t="s">
        <v>24</v>
      </c>
      <c r="E117" s="18" t="s">
        <v>25</v>
      </c>
      <c r="F117" s="17">
        <v>500</v>
      </c>
      <c r="G117" s="17"/>
      <c r="H117" s="18"/>
      <c r="I117" s="18" t="s">
        <v>167</v>
      </c>
      <c r="J117" s="18" t="s">
        <v>67</v>
      </c>
      <c r="K117" s="18" t="s">
        <v>169</v>
      </c>
      <c r="L117" s="19" t="s">
        <v>29</v>
      </c>
      <c r="M117" s="11"/>
      <c r="N117" s="11"/>
      <c r="O117" s="12"/>
      <c r="P117" s="11"/>
      <c r="Q117" s="13"/>
      <c r="R117" s="12"/>
      <c r="S117" s="13"/>
      <c r="T117" s="17" t="str">
        <f t="shared" si="3"/>
        <v/>
      </c>
    </row>
    <row r="118" spans="1:20" ht="15" customHeight="1" x14ac:dyDescent="0.4">
      <c r="A118" s="8">
        <v>115</v>
      </c>
      <c r="B118" s="9" t="s">
        <v>165</v>
      </c>
      <c r="C118" s="8" t="s">
        <v>166</v>
      </c>
      <c r="D118" s="8" t="s">
        <v>24</v>
      </c>
      <c r="E118" s="9" t="s">
        <v>30</v>
      </c>
      <c r="F118" s="8">
        <v>500</v>
      </c>
      <c r="G118" s="8"/>
      <c r="H118" s="9"/>
      <c r="I118" s="9" t="s">
        <v>167</v>
      </c>
      <c r="J118" s="9" t="s">
        <v>67</v>
      </c>
      <c r="K118" s="9" t="s">
        <v>169</v>
      </c>
      <c r="L118" s="10" t="s">
        <v>29</v>
      </c>
      <c r="M118" s="11"/>
      <c r="N118" s="11"/>
      <c r="O118" s="12"/>
      <c r="P118" s="11"/>
      <c r="Q118" s="13"/>
      <c r="R118" s="12"/>
      <c r="S118" s="13"/>
      <c r="T118" s="8" t="str">
        <f t="shared" si="3"/>
        <v/>
      </c>
    </row>
    <row r="119" spans="1:20" ht="30" customHeight="1" x14ac:dyDescent="0.4">
      <c r="A119" s="14">
        <v>116</v>
      </c>
      <c r="B119" s="15" t="s">
        <v>165</v>
      </c>
      <c r="C119" s="14" t="s">
        <v>166</v>
      </c>
      <c r="D119" s="14" t="s">
        <v>24</v>
      </c>
      <c r="E119" s="15" t="s">
        <v>37</v>
      </c>
      <c r="F119" s="14">
        <v>300</v>
      </c>
      <c r="G119" s="14">
        <v>10</v>
      </c>
      <c r="H119" s="15" t="s">
        <v>31</v>
      </c>
      <c r="I119" s="15" t="s">
        <v>167</v>
      </c>
      <c r="J119" s="15" t="s">
        <v>67</v>
      </c>
      <c r="K119" s="15" t="s">
        <v>168</v>
      </c>
      <c r="L119" s="16" t="s">
        <v>29</v>
      </c>
      <c r="M119" s="11"/>
      <c r="N119" s="11"/>
      <c r="O119" s="12"/>
      <c r="P119" s="11"/>
      <c r="Q119" s="13"/>
      <c r="R119" s="12"/>
      <c r="S119" s="13"/>
      <c r="T119" s="14" t="str">
        <f t="shared" si="3"/>
        <v/>
      </c>
    </row>
    <row r="120" spans="1:20" ht="30" customHeight="1" x14ac:dyDescent="0.4">
      <c r="A120" s="14">
        <v>117</v>
      </c>
      <c r="B120" s="15" t="s">
        <v>165</v>
      </c>
      <c r="C120" s="14" t="s">
        <v>166</v>
      </c>
      <c r="D120" s="14" t="s">
        <v>24</v>
      </c>
      <c r="E120" s="15" t="s">
        <v>37</v>
      </c>
      <c r="F120" s="14">
        <v>250</v>
      </c>
      <c r="G120" s="14">
        <v>10</v>
      </c>
      <c r="H120" s="15" t="s">
        <v>31</v>
      </c>
      <c r="I120" s="15" t="s">
        <v>167</v>
      </c>
      <c r="J120" s="15" t="s">
        <v>67</v>
      </c>
      <c r="K120" s="15" t="s">
        <v>170</v>
      </c>
      <c r="L120" s="16" t="s">
        <v>29</v>
      </c>
      <c r="M120" s="11"/>
      <c r="N120" s="11"/>
      <c r="O120" s="12"/>
      <c r="P120" s="11"/>
      <c r="Q120" s="13"/>
      <c r="R120" s="12"/>
      <c r="S120" s="13"/>
      <c r="T120" s="14" t="str">
        <f t="shared" si="3"/>
        <v/>
      </c>
    </row>
    <row r="121" spans="1:20" ht="30" customHeight="1" x14ac:dyDescent="0.4">
      <c r="A121" s="14">
        <v>118</v>
      </c>
      <c r="B121" s="15" t="s">
        <v>165</v>
      </c>
      <c r="C121" s="14" t="s">
        <v>166</v>
      </c>
      <c r="D121" s="14" t="s">
        <v>24</v>
      </c>
      <c r="E121" s="15" t="s">
        <v>57</v>
      </c>
      <c r="F121" s="14">
        <v>300</v>
      </c>
      <c r="G121" s="14">
        <v>10</v>
      </c>
      <c r="H121" s="15" t="s">
        <v>31</v>
      </c>
      <c r="I121" s="15" t="s">
        <v>167</v>
      </c>
      <c r="J121" s="15" t="s">
        <v>67</v>
      </c>
      <c r="K121" s="15" t="s">
        <v>168</v>
      </c>
      <c r="L121" s="16" t="s">
        <v>29</v>
      </c>
      <c r="M121" s="11"/>
      <c r="N121" s="11"/>
      <c r="O121" s="12"/>
      <c r="P121" s="11"/>
      <c r="Q121" s="13"/>
      <c r="R121" s="12"/>
      <c r="S121" s="13"/>
      <c r="T121" s="14" t="str">
        <f t="shared" si="3"/>
        <v/>
      </c>
    </row>
    <row r="122" spans="1:20" ht="15" customHeight="1" x14ac:dyDescent="0.4">
      <c r="A122" s="8">
        <v>119</v>
      </c>
      <c r="B122" s="9" t="s">
        <v>171</v>
      </c>
      <c r="C122" s="8" t="s">
        <v>172</v>
      </c>
      <c r="D122" s="8" t="s">
        <v>41</v>
      </c>
      <c r="E122" s="9" t="s">
        <v>42</v>
      </c>
      <c r="F122" s="8">
        <v>1500</v>
      </c>
      <c r="G122" s="8"/>
      <c r="H122" s="9"/>
      <c r="I122" s="9" t="s">
        <v>173</v>
      </c>
      <c r="J122" s="9" t="s">
        <v>67</v>
      </c>
      <c r="K122" s="9" t="s">
        <v>174</v>
      </c>
      <c r="L122" s="10" t="s">
        <v>29</v>
      </c>
      <c r="M122" s="11"/>
      <c r="N122" s="11"/>
      <c r="O122" s="12"/>
      <c r="P122" s="11"/>
      <c r="Q122" s="13"/>
      <c r="R122" s="12"/>
      <c r="S122" s="13"/>
      <c r="T122" s="8" t="str">
        <f t="shared" si="3"/>
        <v/>
      </c>
    </row>
    <row r="123" spans="1:20" ht="15" customHeight="1" x14ac:dyDescent="0.4">
      <c r="A123" s="17">
        <v>120</v>
      </c>
      <c r="B123" s="18" t="s">
        <v>171</v>
      </c>
      <c r="C123" s="17" t="s">
        <v>172</v>
      </c>
      <c r="D123" s="17" t="s">
        <v>41</v>
      </c>
      <c r="E123" s="18" t="s">
        <v>25</v>
      </c>
      <c r="F123" s="17">
        <v>1500</v>
      </c>
      <c r="G123" s="17"/>
      <c r="H123" s="18"/>
      <c r="I123" s="18" t="s">
        <v>173</v>
      </c>
      <c r="J123" s="18" t="s">
        <v>67</v>
      </c>
      <c r="K123" s="18" t="s">
        <v>174</v>
      </c>
      <c r="L123" s="19" t="s">
        <v>29</v>
      </c>
      <c r="M123" s="11"/>
      <c r="N123" s="11"/>
      <c r="O123" s="12"/>
      <c r="P123" s="11"/>
      <c r="Q123" s="13"/>
      <c r="R123" s="12"/>
      <c r="S123" s="13"/>
      <c r="T123" s="17" t="str">
        <f t="shared" si="3"/>
        <v/>
      </c>
    </row>
    <row r="124" spans="1:20" ht="15" customHeight="1" x14ac:dyDescent="0.4">
      <c r="A124" s="8">
        <v>121</v>
      </c>
      <c r="B124" s="9" t="s">
        <v>171</v>
      </c>
      <c r="C124" s="8" t="s">
        <v>172</v>
      </c>
      <c r="D124" s="8" t="s">
        <v>41</v>
      </c>
      <c r="E124" s="9" t="s">
        <v>30</v>
      </c>
      <c r="F124" s="8">
        <v>500</v>
      </c>
      <c r="G124" s="8"/>
      <c r="H124" s="9"/>
      <c r="I124" s="9" t="s">
        <v>173</v>
      </c>
      <c r="J124" s="9" t="s">
        <v>67</v>
      </c>
      <c r="K124" s="9" t="s">
        <v>175</v>
      </c>
      <c r="L124" s="10" t="s">
        <v>29</v>
      </c>
      <c r="M124" s="11"/>
      <c r="N124" s="11"/>
      <c r="O124" s="12"/>
      <c r="P124" s="11"/>
      <c r="Q124" s="13"/>
      <c r="R124" s="12"/>
      <c r="S124" s="13"/>
      <c r="T124" s="8" t="str">
        <f t="shared" si="3"/>
        <v/>
      </c>
    </row>
    <row r="125" spans="1:20" ht="30" customHeight="1" x14ac:dyDescent="0.4">
      <c r="A125" s="17">
        <v>122</v>
      </c>
      <c r="B125" s="18" t="s">
        <v>171</v>
      </c>
      <c r="C125" s="17" t="s">
        <v>172</v>
      </c>
      <c r="D125" s="17" t="s">
        <v>41</v>
      </c>
      <c r="E125" s="18" t="s">
        <v>49</v>
      </c>
      <c r="F125" s="17">
        <v>2000</v>
      </c>
      <c r="G125" s="17"/>
      <c r="H125" s="18"/>
      <c r="I125" s="18" t="s">
        <v>173</v>
      </c>
      <c r="J125" s="18" t="s">
        <v>67</v>
      </c>
      <c r="K125" s="18" t="s">
        <v>176</v>
      </c>
      <c r="L125" s="19" t="s">
        <v>29</v>
      </c>
      <c r="M125" s="11"/>
      <c r="N125" s="11"/>
      <c r="O125" s="12"/>
      <c r="P125" s="11"/>
      <c r="Q125" s="13"/>
      <c r="R125" s="12"/>
      <c r="S125" s="13"/>
      <c r="T125" s="17" t="str">
        <f t="shared" si="3"/>
        <v/>
      </c>
    </row>
    <row r="126" spans="1:20" ht="30" customHeight="1" x14ac:dyDescent="0.4">
      <c r="A126" s="14">
        <v>123</v>
      </c>
      <c r="B126" s="15" t="s">
        <v>171</v>
      </c>
      <c r="C126" s="14" t="s">
        <v>172</v>
      </c>
      <c r="D126" s="14" t="s">
        <v>41</v>
      </c>
      <c r="E126" s="15" t="s">
        <v>37</v>
      </c>
      <c r="F126" s="14">
        <v>2000</v>
      </c>
      <c r="G126" s="14">
        <v>10</v>
      </c>
      <c r="H126" s="15" t="s">
        <v>31</v>
      </c>
      <c r="I126" s="15" t="s">
        <v>173</v>
      </c>
      <c r="J126" s="15" t="s">
        <v>67</v>
      </c>
      <c r="K126" s="15" t="s">
        <v>177</v>
      </c>
      <c r="L126" s="16" t="s">
        <v>29</v>
      </c>
      <c r="M126" s="11"/>
      <c r="N126" s="11"/>
      <c r="O126" s="12"/>
      <c r="P126" s="11"/>
      <c r="Q126" s="13"/>
      <c r="R126" s="12"/>
      <c r="S126" s="13"/>
      <c r="T126" s="14" t="str">
        <f t="shared" si="3"/>
        <v/>
      </c>
    </row>
    <row r="127" spans="1:20" ht="30" customHeight="1" x14ac:dyDescent="0.4">
      <c r="A127" s="17">
        <v>124</v>
      </c>
      <c r="B127" s="18" t="s">
        <v>171</v>
      </c>
      <c r="C127" s="17" t="s">
        <v>172</v>
      </c>
      <c r="D127" s="17" t="s">
        <v>24</v>
      </c>
      <c r="E127" s="18" t="s">
        <v>25</v>
      </c>
      <c r="F127" s="17">
        <v>200</v>
      </c>
      <c r="G127" s="17"/>
      <c r="H127" s="18"/>
      <c r="I127" s="18" t="s">
        <v>173</v>
      </c>
      <c r="J127" s="18" t="s">
        <v>67</v>
      </c>
      <c r="K127" s="18" t="s">
        <v>178</v>
      </c>
      <c r="L127" s="19" t="s">
        <v>29</v>
      </c>
      <c r="M127" s="11"/>
      <c r="N127" s="11"/>
      <c r="O127" s="12"/>
      <c r="P127" s="11"/>
      <c r="Q127" s="13"/>
      <c r="R127" s="12"/>
      <c r="S127" s="13"/>
      <c r="T127" s="17" t="str">
        <f t="shared" si="3"/>
        <v/>
      </c>
    </row>
    <row r="128" spans="1:20" ht="30" customHeight="1" x14ac:dyDescent="0.4">
      <c r="A128" s="8">
        <v>125</v>
      </c>
      <c r="B128" s="9" t="s">
        <v>171</v>
      </c>
      <c r="C128" s="8" t="s">
        <v>172</v>
      </c>
      <c r="D128" s="8" t="s">
        <v>24</v>
      </c>
      <c r="E128" s="9" t="s">
        <v>30</v>
      </c>
      <c r="F128" s="8">
        <v>200</v>
      </c>
      <c r="G128" s="8"/>
      <c r="H128" s="9"/>
      <c r="I128" s="9" t="s">
        <v>173</v>
      </c>
      <c r="J128" s="9" t="s">
        <v>67</v>
      </c>
      <c r="K128" s="9" t="s">
        <v>178</v>
      </c>
      <c r="L128" s="10" t="s">
        <v>29</v>
      </c>
      <c r="M128" s="11"/>
      <c r="N128" s="11"/>
      <c r="O128" s="12"/>
      <c r="P128" s="11"/>
      <c r="Q128" s="13"/>
      <c r="R128" s="12"/>
      <c r="S128" s="13"/>
      <c r="T128" s="8" t="str">
        <f t="shared" si="3"/>
        <v/>
      </c>
    </row>
    <row r="129" spans="1:20" ht="30" customHeight="1" x14ac:dyDescent="0.4">
      <c r="A129" s="17">
        <v>126</v>
      </c>
      <c r="B129" s="18" t="s">
        <v>171</v>
      </c>
      <c r="C129" s="17" t="s">
        <v>172</v>
      </c>
      <c r="D129" s="17" t="s">
        <v>24</v>
      </c>
      <c r="E129" s="18" t="s">
        <v>37</v>
      </c>
      <c r="F129" s="17">
        <v>200</v>
      </c>
      <c r="G129" s="17"/>
      <c r="H129" s="18"/>
      <c r="I129" s="18" t="s">
        <v>173</v>
      </c>
      <c r="J129" s="18" t="s">
        <v>67</v>
      </c>
      <c r="K129" s="18" t="s">
        <v>178</v>
      </c>
      <c r="L129" s="19" t="s">
        <v>29</v>
      </c>
      <c r="M129" s="11"/>
      <c r="N129" s="11"/>
      <c r="O129" s="12"/>
      <c r="P129" s="11"/>
      <c r="Q129" s="13"/>
      <c r="R129" s="12"/>
      <c r="S129" s="13"/>
      <c r="T129" s="17" t="str">
        <f t="shared" si="3"/>
        <v/>
      </c>
    </row>
    <row r="130" spans="1:20" ht="15" customHeight="1" x14ac:dyDescent="0.4">
      <c r="A130" s="8">
        <v>127</v>
      </c>
      <c r="B130" s="9" t="s">
        <v>179</v>
      </c>
      <c r="C130" s="8" t="s">
        <v>180</v>
      </c>
      <c r="D130" s="8" t="s">
        <v>41</v>
      </c>
      <c r="E130" s="9" t="s">
        <v>42</v>
      </c>
      <c r="F130" s="8">
        <v>1000</v>
      </c>
      <c r="G130" s="8"/>
      <c r="H130" s="9"/>
      <c r="I130" s="9" t="s">
        <v>181</v>
      </c>
      <c r="J130" s="9" t="s">
        <v>67</v>
      </c>
      <c r="K130" s="9" t="s">
        <v>182</v>
      </c>
      <c r="L130" s="10" t="s">
        <v>29</v>
      </c>
      <c r="M130" s="11"/>
      <c r="N130" s="11"/>
      <c r="O130" s="12"/>
      <c r="P130" s="11"/>
      <c r="Q130" s="13"/>
      <c r="R130" s="12"/>
      <c r="S130" s="13"/>
      <c r="T130" s="8" t="str">
        <f t="shared" si="3"/>
        <v/>
      </c>
    </row>
    <row r="131" spans="1:20" ht="30" customHeight="1" x14ac:dyDescent="0.4">
      <c r="A131" s="17">
        <v>128</v>
      </c>
      <c r="B131" s="18" t="s">
        <v>179</v>
      </c>
      <c r="C131" s="17" t="s">
        <v>180</v>
      </c>
      <c r="D131" s="17" t="s">
        <v>41</v>
      </c>
      <c r="E131" s="18" t="s">
        <v>30</v>
      </c>
      <c r="F131" s="17">
        <v>1000</v>
      </c>
      <c r="G131" s="17"/>
      <c r="H131" s="18"/>
      <c r="I131" s="18" t="s">
        <v>181</v>
      </c>
      <c r="J131" s="18" t="s">
        <v>67</v>
      </c>
      <c r="K131" s="18" t="s">
        <v>183</v>
      </c>
      <c r="L131" s="19" t="s">
        <v>29</v>
      </c>
      <c r="M131" s="11"/>
      <c r="N131" s="11"/>
      <c r="O131" s="12"/>
      <c r="P131" s="11"/>
      <c r="Q131" s="13"/>
      <c r="R131" s="12"/>
      <c r="S131" s="13"/>
      <c r="T131" s="17" t="str">
        <f t="shared" si="3"/>
        <v/>
      </c>
    </row>
    <row r="132" spans="1:20" ht="30" customHeight="1" x14ac:dyDescent="0.4">
      <c r="A132" s="14">
        <v>129</v>
      </c>
      <c r="B132" s="15" t="s">
        <v>179</v>
      </c>
      <c r="C132" s="14" t="s">
        <v>180</v>
      </c>
      <c r="D132" s="14" t="s">
        <v>41</v>
      </c>
      <c r="E132" s="15" t="s">
        <v>37</v>
      </c>
      <c r="F132" s="14">
        <v>1000</v>
      </c>
      <c r="G132" s="14">
        <v>5</v>
      </c>
      <c r="H132" s="15" t="s">
        <v>51</v>
      </c>
      <c r="I132" s="15" t="s">
        <v>181</v>
      </c>
      <c r="J132" s="15" t="s">
        <v>67</v>
      </c>
      <c r="K132" s="15" t="s">
        <v>184</v>
      </c>
      <c r="L132" s="16" t="s">
        <v>29</v>
      </c>
      <c r="M132" s="11"/>
      <c r="N132" s="11"/>
      <c r="O132" s="12"/>
      <c r="P132" s="11"/>
      <c r="Q132" s="13"/>
      <c r="R132" s="12"/>
      <c r="S132" s="13"/>
      <c r="T132" s="14" t="str">
        <f t="shared" ref="T132:T159" si="4">IF(M132="","",IF(M132=F132,"일치","변경"))</f>
        <v/>
      </c>
    </row>
    <row r="133" spans="1:20" ht="15" customHeight="1" x14ac:dyDescent="0.4">
      <c r="A133" s="17">
        <v>130</v>
      </c>
      <c r="B133" s="18" t="s">
        <v>179</v>
      </c>
      <c r="C133" s="17" t="s">
        <v>180</v>
      </c>
      <c r="D133" s="17" t="s">
        <v>24</v>
      </c>
      <c r="E133" s="18" t="s">
        <v>25</v>
      </c>
      <c r="F133" s="17">
        <v>500</v>
      </c>
      <c r="G133" s="17"/>
      <c r="H133" s="18"/>
      <c r="I133" s="18" t="s">
        <v>181</v>
      </c>
      <c r="J133" s="18" t="s">
        <v>67</v>
      </c>
      <c r="K133" s="18" t="s">
        <v>185</v>
      </c>
      <c r="L133" s="19" t="s">
        <v>29</v>
      </c>
      <c r="M133" s="11"/>
      <c r="N133" s="11"/>
      <c r="O133" s="12"/>
      <c r="P133" s="11"/>
      <c r="Q133" s="13"/>
      <c r="R133" s="12"/>
      <c r="S133" s="13"/>
      <c r="T133" s="17" t="str">
        <f t="shared" si="4"/>
        <v/>
      </c>
    </row>
    <row r="134" spans="1:20" ht="30" customHeight="1" x14ac:dyDescent="0.4">
      <c r="A134" s="8">
        <v>131</v>
      </c>
      <c r="B134" s="9" t="s">
        <v>179</v>
      </c>
      <c r="C134" s="8" t="s">
        <v>180</v>
      </c>
      <c r="D134" s="8" t="s">
        <v>24</v>
      </c>
      <c r="E134" s="9" t="s">
        <v>30</v>
      </c>
      <c r="F134" s="8">
        <v>1000</v>
      </c>
      <c r="G134" s="8"/>
      <c r="H134" s="9"/>
      <c r="I134" s="9" t="s">
        <v>181</v>
      </c>
      <c r="J134" s="9" t="s">
        <v>67</v>
      </c>
      <c r="K134" s="9" t="s">
        <v>186</v>
      </c>
      <c r="L134" s="10" t="s">
        <v>29</v>
      </c>
      <c r="M134" s="11"/>
      <c r="N134" s="11"/>
      <c r="O134" s="12"/>
      <c r="P134" s="11"/>
      <c r="Q134" s="13"/>
      <c r="R134" s="12"/>
      <c r="S134" s="13"/>
      <c r="T134" s="8" t="str">
        <f t="shared" si="4"/>
        <v/>
      </c>
    </row>
    <row r="135" spans="1:20" ht="30" customHeight="1" x14ac:dyDescent="0.4">
      <c r="A135" s="14">
        <v>132</v>
      </c>
      <c r="B135" s="15" t="s">
        <v>179</v>
      </c>
      <c r="C135" s="14" t="s">
        <v>180</v>
      </c>
      <c r="D135" s="14" t="s">
        <v>24</v>
      </c>
      <c r="E135" s="15" t="s">
        <v>30</v>
      </c>
      <c r="F135" s="14">
        <v>100</v>
      </c>
      <c r="G135" s="14">
        <v>5</v>
      </c>
      <c r="H135" s="15" t="s">
        <v>58</v>
      </c>
      <c r="I135" s="15" t="s">
        <v>181</v>
      </c>
      <c r="J135" s="15" t="s">
        <v>67</v>
      </c>
      <c r="K135" s="15" t="s">
        <v>187</v>
      </c>
      <c r="L135" s="16" t="s">
        <v>29</v>
      </c>
      <c r="M135" s="11"/>
      <c r="N135" s="11"/>
      <c r="O135" s="12"/>
      <c r="P135" s="11"/>
      <c r="Q135" s="13"/>
      <c r="R135" s="12"/>
      <c r="S135" s="13"/>
      <c r="T135" s="14" t="str">
        <f t="shared" si="4"/>
        <v/>
      </c>
    </row>
    <row r="136" spans="1:20" ht="15" customHeight="1" x14ac:dyDescent="0.4">
      <c r="A136" s="8">
        <v>133</v>
      </c>
      <c r="B136" s="9" t="s">
        <v>179</v>
      </c>
      <c r="C136" s="8" t="s">
        <v>180</v>
      </c>
      <c r="D136" s="8" t="s">
        <v>24</v>
      </c>
      <c r="E136" s="9" t="s">
        <v>33</v>
      </c>
      <c r="F136" s="8">
        <v>500</v>
      </c>
      <c r="G136" s="8"/>
      <c r="H136" s="9"/>
      <c r="I136" s="9" t="s">
        <v>181</v>
      </c>
      <c r="J136" s="9" t="s">
        <v>67</v>
      </c>
      <c r="K136" s="9" t="s">
        <v>188</v>
      </c>
      <c r="L136" s="10" t="s">
        <v>29</v>
      </c>
      <c r="M136" s="11"/>
      <c r="N136" s="11"/>
      <c r="O136" s="12"/>
      <c r="P136" s="11"/>
      <c r="Q136" s="13"/>
      <c r="R136" s="12"/>
      <c r="S136" s="13"/>
      <c r="T136" s="8" t="str">
        <f t="shared" si="4"/>
        <v/>
      </c>
    </row>
    <row r="137" spans="1:20" ht="30" customHeight="1" x14ac:dyDescent="0.4">
      <c r="A137" s="14">
        <v>134</v>
      </c>
      <c r="B137" s="15" t="s">
        <v>179</v>
      </c>
      <c r="C137" s="14" t="s">
        <v>180</v>
      </c>
      <c r="D137" s="14" t="s">
        <v>24</v>
      </c>
      <c r="E137" s="15" t="s">
        <v>37</v>
      </c>
      <c r="F137" s="14">
        <v>500</v>
      </c>
      <c r="G137" s="14">
        <v>5</v>
      </c>
      <c r="H137" s="15" t="s">
        <v>51</v>
      </c>
      <c r="I137" s="15" t="s">
        <v>181</v>
      </c>
      <c r="J137" s="15" t="s">
        <v>67</v>
      </c>
      <c r="K137" s="15" t="s">
        <v>189</v>
      </c>
      <c r="L137" s="16" t="s">
        <v>29</v>
      </c>
      <c r="M137" s="11"/>
      <c r="N137" s="11"/>
      <c r="O137" s="12"/>
      <c r="P137" s="11"/>
      <c r="Q137" s="13"/>
      <c r="R137" s="12"/>
      <c r="S137" s="13"/>
      <c r="T137" s="14" t="str">
        <f t="shared" si="4"/>
        <v/>
      </c>
    </row>
    <row r="138" spans="1:20" ht="30" customHeight="1" x14ac:dyDescent="0.4">
      <c r="A138" s="14">
        <v>135</v>
      </c>
      <c r="B138" s="15" t="s">
        <v>179</v>
      </c>
      <c r="C138" s="14" t="s">
        <v>180</v>
      </c>
      <c r="D138" s="14" t="s">
        <v>24</v>
      </c>
      <c r="E138" s="15" t="s">
        <v>37</v>
      </c>
      <c r="F138" s="14">
        <v>100</v>
      </c>
      <c r="G138" s="14">
        <v>5</v>
      </c>
      <c r="H138" s="15" t="s">
        <v>58</v>
      </c>
      <c r="I138" s="15" t="s">
        <v>181</v>
      </c>
      <c r="J138" s="15" t="s">
        <v>67</v>
      </c>
      <c r="K138" s="15" t="s">
        <v>187</v>
      </c>
      <c r="L138" s="16" t="s">
        <v>29</v>
      </c>
      <c r="M138" s="11"/>
      <c r="N138" s="11"/>
      <c r="O138" s="12"/>
      <c r="P138" s="11"/>
      <c r="Q138" s="13"/>
      <c r="R138" s="12"/>
      <c r="S138" s="13"/>
      <c r="T138" s="14" t="str">
        <f t="shared" si="4"/>
        <v/>
      </c>
    </row>
    <row r="139" spans="1:20" ht="15" customHeight="1" x14ac:dyDescent="0.4">
      <c r="A139" s="17">
        <v>136</v>
      </c>
      <c r="B139" s="18" t="s">
        <v>190</v>
      </c>
      <c r="C139" s="17" t="s">
        <v>191</v>
      </c>
      <c r="D139" s="17" t="s">
        <v>41</v>
      </c>
      <c r="E139" s="18" t="s">
        <v>42</v>
      </c>
      <c r="F139" s="17">
        <v>1000</v>
      </c>
      <c r="G139" s="17"/>
      <c r="H139" s="18"/>
      <c r="I139" s="18" t="s">
        <v>192</v>
      </c>
      <c r="J139" s="18" t="s">
        <v>193</v>
      </c>
      <c r="K139" s="18" t="s">
        <v>194</v>
      </c>
      <c r="L139" s="19" t="s">
        <v>29</v>
      </c>
      <c r="M139" s="11"/>
      <c r="N139" s="11"/>
      <c r="O139" s="12"/>
      <c r="P139" s="11"/>
      <c r="Q139" s="13"/>
      <c r="R139" s="12"/>
      <c r="S139" s="13"/>
      <c r="T139" s="17" t="str">
        <f t="shared" si="4"/>
        <v/>
      </c>
    </row>
    <row r="140" spans="1:20" ht="30" customHeight="1" x14ac:dyDescent="0.4">
      <c r="A140" s="8">
        <v>137</v>
      </c>
      <c r="B140" s="9" t="s">
        <v>190</v>
      </c>
      <c r="C140" s="8" t="s">
        <v>191</v>
      </c>
      <c r="D140" s="8" t="s">
        <v>41</v>
      </c>
      <c r="E140" s="9" t="s">
        <v>42</v>
      </c>
      <c r="F140" s="8">
        <v>500</v>
      </c>
      <c r="G140" s="8">
        <v>10</v>
      </c>
      <c r="H140" s="9"/>
      <c r="I140" s="9" t="s">
        <v>192</v>
      </c>
      <c r="J140" s="9" t="s">
        <v>193</v>
      </c>
      <c r="K140" s="9" t="s">
        <v>195</v>
      </c>
      <c r="L140" s="10" t="s">
        <v>29</v>
      </c>
      <c r="M140" s="11"/>
      <c r="N140" s="11"/>
      <c r="O140" s="12"/>
      <c r="P140" s="11"/>
      <c r="Q140" s="13"/>
      <c r="R140" s="12"/>
      <c r="S140" s="13"/>
      <c r="T140" s="8" t="str">
        <f t="shared" si="4"/>
        <v/>
      </c>
    </row>
    <row r="141" spans="1:20" ht="30" customHeight="1" x14ac:dyDescent="0.4">
      <c r="A141" s="17">
        <v>138</v>
      </c>
      <c r="B141" s="18" t="s">
        <v>190</v>
      </c>
      <c r="C141" s="17" t="s">
        <v>191</v>
      </c>
      <c r="D141" s="17" t="s">
        <v>41</v>
      </c>
      <c r="E141" s="18" t="s">
        <v>75</v>
      </c>
      <c r="F141" s="17">
        <v>500</v>
      </c>
      <c r="G141" s="17">
        <v>10</v>
      </c>
      <c r="H141" s="18"/>
      <c r="I141" s="18" t="s">
        <v>192</v>
      </c>
      <c r="J141" s="18" t="s">
        <v>193</v>
      </c>
      <c r="K141" s="18" t="s">
        <v>196</v>
      </c>
      <c r="L141" s="19" t="s">
        <v>29</v>
      </c>
      <c r="M141" s="11"/>
      <c r="N141" s="11"/>
      <c r="O141" s="12"/>
      <c r="P141" s="11"/>
      <c r="Q141" s="13"/>
      <c r="R141" s="12"/>
      <c r="S141" s="13"/>
      <c r="T141" s="17" t="str">
        <f t="shared" si="4"/>
        <v/>
      </c>
    </row>
    <row r="142" spans="1:20" ht="30" customHeight="1" x14ac:dyDescent="0.4">
      <c r="A142" s="8">
        <v>139</v>
      </c>
      <c r="B142" s="9" t="s">
        <v>190</v>
      </c>
      <c r="C142" s="8" t="s">
        <v>191</v>
      </c>
      <c r="D142" s="8" t="s">
        <v>41</v>
      </c>
      <c r="E142" s="9" t="s">
        <v>25</v>
      </c>
      <c r="F142" s="8">
        <v>500</v>
      </c>
      <c r="G142" s="8">
        <v>10</v>
      </c>
      <c r="H142" s="9"/>
      <c r="I142" s="9" t="s">
        <v>192</v>
      </c>
      <c r="J142" s="9" t="s">
        <v>193</v>
      </c>
      <c r="K142" s="9" t="s">
        <v>196</v>
      </c>
      <c r="L142" s="10" t="s">
        <v>29</v>
      </c>
      <c r="M142" s="11"/>
      <c r="N142" s="11"/>
      <c r="O142" s="12"/>
      <c r="P142" s="11"/>
      <c r="Q142" s="13"/>
      <c r="R142" s="12"/>
      <c r="S142" s="13"/>
      <c r="T142" s="8" t="str">
        <f t="shared" si="4"/>
        <v/>
      </c>
    </row>
    <row r="143" spans="1:20" ht="30" customHeight="1" x14ac:dyDescent="0.4">
      <c r="A143" s="17">
        <v>140</v>
      </c>
      <c r="B143" s="18" t="s">
        <v>190</v>
      </c>
      <c r="C143" s="17" t="s">
        <v>191</v>
      </c>
      <c r="D143" s="17" t="s">
        <v>41</v>
      </c>
      <c r="E143" s="18" t="s">
        <v>49</v>
      </c>
      <c r="F143" s="17">
        <v>500</v>
      </c>
      <c r="G143" s="17">
        <v>10</v>
      </c>
      <c r="H143" s="18"/>
      <c r="I143" s="18" t="s">
        <v>192</v>
      </c>
      <c r="J143" s="18" t="s">
        <v>193</v>
      </c>
      <c r="K143" s="18" t="s">
        <v>196</v>
      </c>
      <c r="L143" s="19" t="s">
        <v>29</v>
      </c>
      <c r="M143" s="11"/>
      <c r="N143" s="11"/>
      <c r="O143" s="12"/>
      <c r="P143" s="11"/>
      <c r="Q143" s="13"/>
      <c r="R143" s="12"/>
      <c r="S143" s="13"/>
      <c r="T143" s="17" t="str">
        <f t="shared" si="4"/>
        <v/>
      </c>
    </row>
    <row r="144" spans="1:20" ht="30" customHeight="1" x14ac:dyDescent="0.4">
      <c r="A144" s="14">
        <v>141</v>
      </c>
      <c r="B144" s="15" t="s">
        <v>190</v>
      </c>
      <c r="C144" s="14" t="s">
        <v>191</v>
      </c>
      <c r="D144" s="14" t="s">
        <v>41</v>
      </c>
      <c r="E144" s="15" t="s">
        <v>53</v>
      </c>
      <c r="F144" s="14">
        <v>700</v>
      </c>
      <c r="G144" s="14">
        <v>10</v>
      </c>
      <c r="H144" s="15" t="s">
        <v>58</v>
      </c>
      <c r="I144" s="15" t="s">
        <v>192</v>
      </c>
      <c r="J144" s="15" t="s">
        <v>193</v>
      </c>
      <c r="K144" s="15" t="s">
        <v>197</v>
      </c>
      <c r="L144" s="16" t="s">
        <v>29</v>
      </c>
      <c r="M144" s="11"/>
      <c r="N144" s="11"/>
      <c r="O144" s="12"/>
      <c r="P144" s="11"/>
      <c r="Q144" s="13"/>
      <c r="R144" s="12"/>
      <c r="S144" s="13"/>
      <c r="T144" s="14" t="str">
        <f t="shared" si="4"/>
        <v/>
      </c>
    </row>
    <row r="145" spans="1:20" ht="30" customHeight="1" x14ac:dyDescent="0.4">
      <c r="A145" s="17">
        <v>142</v>
      </c>
      <c r="B145" s="18" t="s">
        <v>190</v>
      </c>
      <c r="C145" s="17" t="s">
        <v>191</v>
      </c>
      <c r="D145" s="17" t="s">
        <v>41</v>
      </c>
      <c r="E145" s="18" t="s">
        <v>53</v>
      </c>
      <c r="F145" s="17">
        <v>500</v>
      </c>
      <c r="G145" s="17">
        <v>10</v>
      </c>
      <c r="H145" s="18"/>
      <c r="I145" s="18" t="s">
        <v>192</v>
      </c>
      <c r="J145" s="18" t="s">
        <v>193</v>
      </c>
      <c r="K145" s="18" t="s">
        <v>195</v>
      </c>
      <c r="L145" s="19" t="s">
        <v>29</v>
      </c>
      <c r="M145" s="11"/>
      <c r="N145" s="11"/>
      <c r="O145" s="12"/>
      <c r="P145" s="11"/>
      <c r="Q145" s="13"/>
      <c r="R145" s="12"/>
      <c r="S145" s="13"/>
      <c r="T145" s="17" t="str">
        <f t="shared" si="4"/>
        <v/>
      </c>
    </row>
    <row r="146" spans="1:20" ht="30" customHeight="1" x14ac:dyDescent="0.4">
      <c r="A146" s="8">
        <v>143</v>
      </c>
      <c r="B146" s="9" t="s">
        <v>190</v>
      </c>
      <c r="C146" s="8" t="s">
        <v>191</v>
      </c>
      <c r="D146" s="8" t="s">
        <v>41</v>
      </c>
      <c r="E146" s="9" t="s">
        <v>53</v>
      </c>
      <c r="F146" s="8">
        <v>500</v>
      </c>
      <c r="G146" s="8">
        <v>10</v>
      </c>
      <c r="H146" s="9"/>
      <c r="I146" s="9" t="s">
        <v>192</v>
      </c>
      <c r="J146" s="9" t="s">
        <v>193</v>
      </c>
      <c r="K146" s="9" t="s">
        <v>196</v>
      </c>
      <c r="L146" s="10" t="s">
        <v>29</v>
      </c>
      <c r="M146" s="11"/>
      <c r="N146" s="11"/>
      <c r="O146" s="12"/>
      <c r="P146" s="11"/>
      <c r="Q146" s="13"/>
      <c r="R146" s="12"/>
      <c r="S146" s="13"/>
      <c r="T146" s="8" t="str">
        <f t="shared" si="4"/>
        <v/>
      </c>
    </row>
    <row r="147" spans="1:20" ht="75" customHeight="1" x14ac:dyDescent="0.4">
      <c r="A147" s="14">
        <v>144</v>
      </c>
      <c r="B147" s="15" t="s">
        <v>190</v>
      </c>
      <c r="C147" s="14" t="s">
        <v>191</v>
      </c>
      <c r="D147" s="14" t="s">
        <v>41</v>
      </c>
      <c r="E147" s="15" t="s">
        <v>53</v>
      </c>
      <c r="F147" s="14">
        <v>400</v>
      </c>
      <c r="G147" s="14"/>
      <c r="H147" s="15" t="s">
        <v>58</v>
      </c>
      <c r="I147" s="15" t="s">
        <v>192</v>
      </c>
      <c r="J147" s="15" t="s">
        <v>193</v>
      </c>
      <c r="K147" s="15" t="s">
        <v>198</v>
      </c>
      <c r="L147" s="16" t="s">
        <v>29</v>
      </c>
      <c r="M147" s="11"/>
      <c r="N147" s="11"/>
      <c r="O147" s="12"/>
      <c r="P147" s="11"/>
      <c r="Q147" s="13"/>
      <c r="R147" s="12"/>
      <c r="S147" s="13"/>
      <c r="T147" s="14" t="str">
        <f t="shared" si="4"/>
        <v/>
      </c>
    </row>
    <row r="148" spans="1:20" ht="30" customHeight="1" x14ac:dyDescent="0.4">
      <c r="A148" s="8">
        <v>145</v>
      </c>
      <c r="B148" s="9" t="s">
        <v>190</v>
      </c>
      <c r="C148" s="8" t="s">
        <v>191</v>
      </c>
      <c r="D148" s="8" t="s">
        <v>41</v>
      </c>
      <c r="E148" s="9" t="s">
        <v>57</v>
      </c>
      <c r="F148" s="8">
        <v>200</v>
      </c>
      <c r="G148" s="8"/>
      <c r="H148" s="9"/>
      <c r="I148" s="9" t="s">
        <v>192</v>
      </c>
      <c r="J148" s="9" t="s">
        <v>193</v>
      </c>
      <c r="K148" s="9" t="s">
        <v>199</v>
      </c>
      <c r="L148" s="10" t="s">
        <v>29</v>
      </c>
      <c r="M148" s="11"/>
      <c r="N148" s="11"/>
      <c r="O148" s="12"/>
      <c r="P148" s="11"/>
      <c r="Q148" s="13"/>
      <c r="R148" s="12"/>
      <c r="S148" s="13"/>
      <c r="T148" s="8" t="str">
        <f t="shared" si="4"/>
        <v/>
      </c>
    </row>
    <row r="149" spans="1:20" ht="45" customHeight="1" x14ac:dyDescent="0.4">
      <c r="A149" s="14">
        <v>146</v>
      </c>
      <c r="B149" s="15" t="s">
        <v>190</v>
      </c>
      <c r="C149" s="14" t="s">
        <v>191</v>
      </c>
      <c r="D149" s="14" t="s">
        <v>24</v>
      </c>
      <c r="E149" s="15" t="s">
        <v>75</v>
      </c>
      <c r="F149" s="14">
        <v>500</v>
      </c>
      <c r="G149" s="14">
        <v>5</v>
      </c>
      <c r="H149" s="15" t="s">
        <v>51</v>
      </c>
      <c r="I149" s="15" t="s">
        <v>192</v>
      </c>
      <c r="J149" s="15" t="s">
        <v>193</v>
      </c>
      <c r="K149" s="15" t="s">
        <v>200</v>
      </c>
      <c r="L149" s="16" t="s">
        <v>29</v>
      </c>
      <c r="M149" s="11"/>
      <c r="N149" s="11"/>
      <c r="O149" s="12"/>
      <c r="P149" s="11"/>
      <c r="Q149" s="13"/>
      <c r="R149" s="12"/>
      <c r="S149" s="13"/>
      <c r="T149" s="14" t="str">
        <f t="shared" si="4"/>
        <v/>
      </c>
    </row>
    <row r="150" spans="1:20" ht="45" customHeight="1" x14ac:dyDescent="0.4">
      <c r="A150" s="14">
        <v>147</v>
      </c>
      <c r="B150" s="15" t="s">
        <v>190</v>
      </c>
      <c r="C150" s="14" t="s">
        <v>191</v>
      </c>
      <c r="D150" s="14" t="s">
        <v>24</v>
      </c>
      <c r="E150" s="15" t="s">
        <v>25</v>
      </c>
      <c r="F150" s="14">
        <v>500</v>
      </c>
      <c r="G150" s="14">
        <v>5</v>
      </c>
      <c r="H150" s="15" t="s">
        <v>51</v>
      </c>
      <c r="I150" s="15" t="s">
        <v>192</v>
      </c>
      <c r="J150" s="15" t="s">
        <v>193</v>
      </c>
      <c r="K150" s="15" t="s">
        <v>200</v>
      </c>
      <c r="L150" s="16" t="s">
        <v>29</v>
      </c>
      <c r="M150" s="11"/>
      <c r="N150" s="11"/>
      <c r="O150" s="12"/>
      <c r="P150" s="11"/>
      <c r="Q150" s="13"/>
      <c r="R150" s="12"/>
      <c r="S150" s="13"/>
      <c r="T150" s="14" t="str">
        <f t="shared" si="4"/>
        <v/>
      </c>
    </row>
    <row r="151" spans="1:20" ht="60" customHeight="1" x14ac:dyDescent="0.4">
      <c r="A151" s="14">
        <v>148</v>
      </c>
      <c r="B151" s="15" t="s">
        <v>190</v>
      </c>
      <c r="C151" s="14" t="s">
        <v>191</v>
      </c>
      <c r="D151" s="14" t="s">
        <v>24</v>
      </c>
      <c r="E151" s="15" t="s">
        <v>30</v>
      </c>
      <c r="F151" s="14">
        <v>500</v>
      </c>
      <c r="G151" s="14"/>
      <c r="H151" s="15" t="s">
        <v>51</v>
      </c>
      <c r="I151" s="15" t="s">
        <v>192</v>
      </c>
      <c r="J151" s="15" t="s">
        <v>193</v>
      </c>
      <c r="K151" s="15" t="s">
        <v>201</v>
      </c>
      <c r="L151" s="16" t="s">
        <v>29</v>
      </c>
      <c r="M151" s="11"/>
      <c r="N151" s="11"/>
      <c r="O151" s="12"/>
      <c r="P151" s="11"/>
      <c r="Q151" s="13"/>
      <c r="R151" s="12"/>
      <c r="S151" s="13"/>
      <c r="T151" s="14" t="str">
        <f t="shared" si="4"/>
        <v/>
      </c>
    </row>
    <row r="152" spans="1:20" ht="45" customHeight="1" x14ac:dyDescent="0.4">
      <c r="A152" s="14">
        <v>149</v>
      </c>
      <c r="B152" s="15" t="s">
        <v>190</v>
      </c>
      <c r="C152" s="14" t="s">
        <v>191</v>
      </c>
      <c r="D152" s="14" t="s">
        <v>24</v>
      </c>
      <c r="E152" s="15" t="s">
        <v>53</v>
      </c>
      <c r="F152" s="14">
        <v>500</v>
      </c>
      <c r="G152" s="14">
        <v>5</v>
      </c>
      <c r="H152" s="15" t="s">
        <v>51</v>
      </c>
      <c r="I152" s="15" t="s">
        <v>192</v>
      </c>
      <c r="J152" s="15" t="s">
        <v>193</v>
      </c>
      <c r="K152" s="15" t="s">
        <v>200</v>
      </c>
      <c r="L152" s="16" t="s">
        <v>29</v>
      </c>
      <c r="M152" s="11"/>
      <c r="N152" s="11"/>
      <c r="O152" s="12"/>
      <c r="P152" s="11"/>
      <c r="Q152" s="13"/>
      <c r="R152" s="12"/>
      <c r="S152" s="13"/>
      <c r="T152" s="14" t="str">
        <f t="shared" si="4"/>
        <v/>
      </c>
    </row>
    <row r="153" spans="1:20" ht="15" customHeight="1" x14ac:dyDescent="0.4">
      <c r="A153" s="17">
        <v>150</v>
      </c>
      <c r="B153" s="18" t="s">
        <v>202</v>
      </c>
      <c r="C153" s="17" t="s">
        <v>203</v>
      </c>
      <c r="D153" s="17" t="s">
        <v>41</v>
      </c>
      <c r="E153" s="18" t="s">
        <v>42</v>
      </c>
      <c r="F153" s="17">
        <v>1000</v>
      </c>
      <c r="G153" s="17"/>
      <c r="H153" s="18"/>
      <c r="I153" s="18" t="s">
        <v>204</v>
      </c>
      <c r="J153" s="18" t="s">
        <v>67</v>
      </c>
      <c r="K153" s="18" t="s">
        <v>205</v>
      </c>
      <c r="L153" s="19" t="s">
        <v>29</v>
      </c>
      <c r="M153" s="11"/>
      <c r="N153" s="11"/>
      <c r="O153" s="12"/>
      <c r="P153" s="11"/>
      <c r="Q153" s="13"/>
      <c r="R153" s="12"/>
      <c r="S153" s="13"/>
      <c r="T153" s="17" t="str">
        <f t="shared" si="4"/>
        <v/>
      </c>
    </row>
    <row r="154" spans="1:20" ht="30" customHeight="1" x14ac:dyDescent="0.4">
      <c r="A154" s="8">
        <v>151</v>
      </c>
      <c r="B154" s="9" t="s">
        <v>202</v>
      </c>
      <c r="C154" s="8" t="s">
        <v>203</v>
      </c>
      <c r="D154" s="8" t="s">
        <v>41</v>
      </c>
      <c r="E154" s="9" t="s">
        <v>25</v>
      </c>
      <c r="F154" s="8">
        <v>300</v>
      </c>
      <c r="G154" s="8"/>
      <c r="H154" s="9"/>
      <c r="I154" s="9" t="s">
        <v>204</v>
      </c>
      <c r="J154" s="9" t="s">
        <v>67</v>
      </c>
      <c r="K154" s="9" t="s">
        <v>206</v>
      </c>
      <c r="L154" s="10" t="s">
        <v>29</v>
      </c>
      <c r="M154" s="11"/>
      <c r="N154" s="11"/>
      <c r="O154" s="12"/>
      <c r="P154" s="11"/>
      <c r="Q154" s="13"/>
      <c r="R154" s="12"/>
      <c r="S154" s="13"/>
      <c r="T154" s="8" t="str">
        <f t="shared" si="4"/>
        <v/>
      </c>
    </row>
    <row r="155" spans="1:20" ht="30" customHeight="1" x14ac:dyDescent="0.4">
      <c r="A155" s="17">
        <v>152</v>
      </c>
      <c r="B155" s="18" t="s">
        <v>202</v>
      </c>
      <c r="C155" s="17" t="s">
        <v>203</v>
      </c>
      <c r="D155" s="17" t="s">
        <v>41</v>
      </c>
      <c r="E155" s="18" t="s">
        <v>49</v>
      </c>
      <c r="F155" s="17">
        <v>1500</v>
      </c>
      <c r="G155" s="17"/>
      <c r="H155" s="18"/>
      <c r="I155" s="18" t="s">
        <v>204</v>
      </c>
      <c r="J155" s="18" t="s">
        <v>67</v>
      </c>
      <c r="K155" s="18" t="s">
        <v>207</v>
      </c>
      <c r="L155" s="19" t="s">
        <v>29</v>
      </c>
      <c r="M155" s="11"/>
      <c r="N155" s="11"/>
      <c r="O155" s="12"/>
      <c r="P155" s="11"/>
      <c r="Q155" s="13"/>
      <c r="R155" s="12"/>
      <c r="S155" s="13"/>
      <c r="T155" s="17" t="str">
        <f t="shared" si="4"/>
        <v/>
      </c>
    </row>
    <row r="156" spans="1:20" ht="30" customHeight="1" x14ac:dyDescent="0.4">
      <c r="A156" s="14">
        <v>153</v>
      </c>
      <c r="B156" s="15" t="s">
        <v>202</v>
      </c>
      <c r="C156" s="14" t="s">
        <v>203</v>
      </c>
      <c r="D156" s="14" t="s">
        <v>41</v>
      </c>
      <c r="E156" s="15" t="s">
        <v>37</v>
      </c>
      <c r="F156" s="14">
        <v>1500</v>
      </c>
      <c r="G156" s="14">
        <v>10</v>
      </c>
      <c r="H156" s="15" t="s">
        <v>31</v>
      </c>
      <c r="I156" s="15" t="s">
        <v>204</v>
      </c>
      <c r="J156" s="15" t="s">
        <v>67</v>
      </c>
      <c r="K156" s="15" t="s">
        <v>208</v>
      </c>
      <c r="L156" s="16" t="s">
        <v>29</v>
      </c>
      <c r="M156" s="11"/>
      <c r="N156" s="11"/>
      <c r="O156" s="12"/>
      <c r="P156" s="11"/>
      <c r="Q156" s="13"/>
      <c r="R156" s="12"/>
      <c r="S156" s="13"/>
      <c r="T156" s="14" t="str">
        <f t="shared" si="4"/>
        <v/>
      </c>
    </row>
    <row r="157" spans="1:20" ht="30" customHeight="1" x14ac:dyDescent="0.4">
      <c r="A157" s="14">
        <v>154</v>
      </c>
      <c r="B157" s="15" t="s">
        <v>202</v>
      </c>
      <c r="C157" s="14" t="s">
        <v>203</v>
      </c>
      <c r="D157" s="14" t="s">
        <v>41</v>
      </c>
      <c r="E157" s="15" t="s">
        <v>37</v>
      </c>
      <c r="F157" s="14">
        <v>300</v>
      </c>
      <c r="G157" s="14">
        <v>10</v>
      </c>
      <c r="H157" s="15" t="s">
        <v>31</v>
      </c>
      <c r="I157" s="15" t="s">
        <v>204</v>
      </c>
      <c r="J157" s="15" t="s">
        <v>67</v>
      </c>
      <c r="K157" s="15" t="s">
        <v>209</v>
      </c>
      <c r="L157" s="16" t="s">
        <v>29</v>
      </c>
      <c r="M157" s="11"/>
      <c r="N157" s="11"/>
      <c r="O157" s="12"/>
      <c r="P157" s="11"/>
      <c r="Q157" s="13"/>
      <c r="R157" s="12"/>
      <c r="S157" s="13"/>
      <c r="T157" s="14" t="str">
        <f t="shared" si="4"/>
        <v/>
      </c>
    </row>
    <row r="158" spans="1:20" ht="30" customHeight="1" x14ac:dyDescent="0.4">
      <c r="A158" s="8">
        <v>155</v>
      </c>
      <c r="B158" s="9" t="s">
        <v>202</v>
      </c>
      <c r="C158" s="8" t="s">
        <v>203</v>
      </c>
      <c r="D158" s="8" t="s">
        <v>24</v>
      </c>
      <c r="E158" s="9" t="s">
        <v>25</v>
      </c>
      <c r="F158" s="8">
        <v>100</v>
      </c>
      <c r="G158" s="8"/>
      <c r="H158" s="9"/>
      <c r="I158" s="9" t="s">
        <v>204</v>
      </c>
      <c r="J158" s="9" t="s">
        <v>67</v>
      </c>
      <c r="K158" s="9" t="s">
        <v>210</v>
      </c>
      <c r="L158" s="10" t="s">
        <v>29</v>
      </c>
      <c r="M158" s="11"/>
      <c r="N158" s="11"/>
      <c r="O158" s="12"/>
      <c r="P158" s="11"/>
      <c r="Q158" s="13"/>
      <c r="R158" s="12"/>
      <c r="S158" s="13"/>
      <c r="T158" s="8" t="str">
        <f t="shared" si="4"/>
        <v/>
      </c>
    </row>
    <row r="159" spans="1:20" ht="30" customHeight="1" x14ac:dyDescent="0.4">
      <c r="A159" s="14">
        <v>156</v>
      </c>
      <c r="B159" s="15" t="s">
        <v>202</v>
      </c>
      <c r="C159" s="14" t="s">
        <v>203</v>
      </c>
      <c r="D159" s="14" t="s">
        <v>24</v>
      </c>
      <c r="E159" s="15" t="s">
        <v>37</v>
      </c>
      <c r="F159" s="14">
        <v>100</v>
      </c>
      <c r="G159" s="14">
        <v>10</v>
      </c>
      <c r="H159" s="15" t="s">
        <v>31</v>
      </c>
      <c r="I159" s="15" t="s">
        <v>204</v>
      </c>
      <c r="J159" s="15" t="s">
        <v>67</v>
      </c>
      <c r="K159" s="15" t="s">
        <v>211</v>
      </c>
      <c r="L159" s="16" t="s">
        <v>29</v>
      </c>
      <c r="M159" s="11"/>
      <c r="N159" s="11"/>
      <c r="O159" s="12"/>
      <c r="P159" s="11"/>
      <c r="Q159" s="13"/>
      <c r="R159" s="12"/>
      <c r="S159" s="13"/>
      <c r="T159" s="14" t="str">
        <f t="shared" si="4"/>
        <v/>
      </c>
    </row>
  </sheetData>
  <autoFilter ref="A3:T159" xr:uid="{00000000-0009-0000-0000-000001000000}"/>
  <phoneticPr fontId="8" type="noConversion"/>
  <dataValidations count="4">
    <dataValidation type="list" allowBlank="1" errorTitle="판정 반영" error="Y 또는 N만 입력할 수 있습니다" sqref="P4:P159" xr:uid="{00000000-0002-0000-0100-000000000000}">
      <formula1>"Y,N"</formula1>
    </dataValidation>
    <dataValidation type="whole" allowBlank="1" errorTitle="확정 거리" error="0 이상의 정수(m)를 입력하세요" sqref="M4:M159" xr:uid="{00000000-0002-0000-0100-000001000000}">
      <formula1>0</formula1>
      <formula2>100000</formula2>
    </dataValidation>
    <dataValidation type="whole" allowBlank="1" errorTitle="확정 호수" error="0 이상의 정수를 입력하세요" sqref="N4:N159" xr:uid="{00000000-0002-0000-0100-000002000000}">
      <formula1>0</formula1>
      <formula2>10000</formula2>
    </dataValidation>
    <dataValidation type="date" operator="greaterThan" allowBlank="1" errorTitle="날짜" error="날짜(예: 2026-09-20)를 입력하세요" sqref="O4:O159 R4:R159" xr:uid="{00000000-0002-0000-0100-000003000000}">
      <formula1>DATE(1990,1,1)</formula1>
    </dataValidation>
  </dataValidations>
  <hyperlinks>
    <hyperlink ref="L4" r:id="rId1" xr:uid="{00000000-0004-0000-0100-000000000000}"/>
    <hyperlink ref="L5" r:id="rId2" xr:uid="{00000000-0004-0000-0100-000001000000}"/>
    <hyperlink ref="L6" r:id="rId3" xr:uid="{00000000-0004-0000-0100-000002000000}"/>
    <hyperlink ref="L7" r:id="rId4" xr:uid="{00000000-0004-0000-0100-000003000000}"/>
    <hyperlink ref="L8" r:id="rId5" xr:uid="{00000000-0004-0000-0100-000004000000}"/>
    <hyperlink ref="L9" r:id="rId6" xr:uid="{00000000-0004-0000-0100-000005000000}"/>
    <hyperlink ref="L10" r:id="rId7" xr:uid="{00000000-0004-0000-0100-000006000000}"/>
    <hyperlink ref="L11" r:id="rId8" xr:uid="{00000000-0004-0000-0100-000007000000}"/>
    <hyperlink ref="L12" r:id="rId9" xr:uid="{00000000-0004-0000-0100-000008000000}"/>
    <hyperlink ref="L13" r:id="rId10" xr:uid="{00000000-0004-0000-0100-000009000000}"/>
    <hyperlink ref="L14" r:id="rId11" xr:uid="{00000000-0004-0000-0100-00000A000000}"/>
    <hyperlink ref="L15" r:id="rId12" xr:uid="{00000000-0004-0000-0100-00000B000000}"/>
    <hyperlink ref="L16" r:id="rId13" xr:uid="{00000000-0004-0000-0100-00000C000000}"/>
    <hyperlink ref="L17" r:id="rId14" xr:uid="{00000000-0004-0000-0100-00000D000000}"/>
    <hyperlink ref="L18" r:id="rId15" xr:uid="{00000000-0004-0000-0100-00000E000000}"/>
    <hyperlink ref="L19" r:id="rId16" xr:uid="{00000000-0004-0000-0100-00000F000000}"/>
    <hyperlink ref="L20" r:id="rId17" xr:uid="{00000000-0004-0000-0100-000010000000}"/>
    <hyperlink ref="L21" r:id="rId18" xr:uid="{00000000-0004-0000-0100-000011000000}"/>
    <hyperlink ref="L22" r:id="rId19" xr:uid="{00000000-0004-0000-0100-000012000000}"/>
    <hyperlink ref="L23" r:id="rId20" xr:uid="{00000000-0004-0000-0100-000013000000}"/>
    <hyperlink ref="L24" r:id="rId21" xr:uid="{00000000-0004-0000-0100-000014000000}"/>
    <hyperlink ref="L25" r:id="rId22" xr:uid="{00000000-0004-0000-0100-000015000000}"/>
    <hyperlink ref="L26" r:id="rId23" xr:uid="{00000000-0004-0000-0100-000016000000}"/>
    <hyperlink ref="L27" r:id="rId24" xr:uid="{00000000-0004-0000-0100-000017000000}"/>
    <hyperlink ref="L28" r:id="rId25" xr:uid="{00000000-0004-0000-0100-000018000000}"/>
    <hyperlink ref="L29" r:id="rId26" xr:uid="{00000000-0004-0000-0100-000019000000}"/>
    <hyperlink ref="L30" r:id="rId27" xr:uid="{00000000-0004-0000-0100-00001A000000}"/>
    <hyperlink ref="L31" r:id="rId28" xr:uid="{00000000-0004-0000-0100-00001B000000}"/>
    <hyperlink ref="L32" r:id="rId29" xr:uid="{00000000-0004-0000-0100-00001C000000}"/>
    <hyperlink ref="L33" r:id="rId30" xr:uid="{00000000-0004-0000-0100-00001D000000}"/>
    <hyperlink ref="L34" r:id="rId31" xr:uid="{00000000-0004-0000-0100-00001E000000}"/>
    <hyperlink ref="L35" r:id="rId32" xr:uid="{00000000-0004-0000-0100-00001F000000}"/>
    <hyperlink ref="L36" r:id="rId33" xr:uid="{00000000-0004-0000-0100-000020000000}"/>
    <hyperlink ref="L37" r:id="rId34" xr:uid="{00000000-0004-0000-0100-000021000000}"/>
    <hyperlink ref="L38" r:id="rId35" xr:uid="{00000000-0004-0000-0100-000022000000}"/>
    <hyperlink ref="L39" r:id="rId36" xr:uid="{00000000-0004-0000-0100-000023000000}"/>
    <hyperlink ref="L40" r:id="rId37" xr:uid="{00000000-0004-0000-0100-000024000000}"/>
    <hyperlink ref="L41" r:id="rId38" xr:uid="{00000000-0004-0000-0100-000025000000}"/>
    <hyperlink ref="L42" r:id="rId39" xr:uid="{00000000-0004-0000-0100-000026000000}"/>
    <hyperlink ref="L43" r:id="rId40" xr:uid="{00000000-0004-0000-0100-000027000000}"/>
    <hyperlink ref="L44" r:id="rId41" xr:uid="{00000000-0004-0000-0100-000028000000}"/>
    <hyperlink ref="L45" r:id="rId42" xr:uid="{00000000-0004-0000-0100-000029000000}"/>
    <hyperlink ref="L46" r:id="rId43" xr:uid="{00000000-0004-0000-0100-00002A000000}"/>
    <hyperlink ref="L47" r:id="rId44" xr:uid="{00000000-0004-0000-0100-00002B000000}"/>
    <hyperlink ref="L48" r:id="rId45" xr:uid="{00000000-0004-0000-0100-00002C000000}"/>
    <hyperlink ref="L49" r:id="rId46" xr:uid="{00000000-0004-0000-0100-00002D000000}"/>
    <hyperlink ref="L50" r:id="rId47" xr:uid="{00000000-0004-0000-0100-00002E000000}"/>
    <hyperlink ref="L51" r:id="rId48" xr:uid="{00000000-0004-0000-0100-00002F000000}"/>
    <hyperlink ref="L52" r:id="rId49" xr:uid="{00000000-0004-0000-0100-000030000000}"/>
    <hyperlink ref="L53" r:id="rId50" xr:uid="{00000000-0004-0000-0100-000031000000}"/>
    <hyperlink ref="L54" r:id="rId51" xr:uid="{00000000-0004-0000-0100-000032000000}"/>
    <hyperlink ref="L55" r:id="rId52" xr:uid="{00000000-0004-0000-0100-000033000000}"/>
    <hyperlink ref="L56" r:id="rId53" xr:uid="{00000000-0004-0000-0100-000034000000}"/>
    <hyperlink ref="L57" r:id="rId54" xr:uid="{00000000-0004-0000-0100-000035000000}"/>
    <hyperlink ref="L58" r:id="rId55" xr:uid="{00000000-0004-0000-0100-000036000000}"/>
    <hyperlink ref="L59" r:id="rId56" xr:uid="{00000000-0004-0000-0100-000037000000}"/>
    <hyperlink ref="L60" r:id="rId57" xr:uid="{00000000-0004-0000-0100-000038000000}"/>
    <hyperlink ref="L61" r:id="rId58" xr:uid="{00000000-0004-0000-0100-000039000000}"/>
    <hyperlink ref="L62" r:id="rId59" xr:uid="{00000000-0004-0000-0100-00003A000000}"/>
    <hyperlink ref="L63" r:id="rId60" xr:uid="{00000000-0004-0000-0100-00003B000000}"/>
    <hyperlink ref="L64" r:id="rId61" xr:uid="{00000000-0004-0000-0100-00003C000000}"/>
    <hyperlink ref="L65" r:id="rId62" xr:uid="{00000000-0004-0000-0100-00003D000000}"/>
    <hyperlink ref="L66" r:id="rId63" xr:uid="{00000000-0004-0000-0100-00003E000000}"/>
    <hyperlink ref="L67" r:id="rId64" xr:uid="{00000000-0004-0000-0100-00003F000000}"/>
    <hyperlink ref="L68" r:id="rId65" xr:uid="{00000000-0004-0000-0100-000040000000}"/>
    <hyperlink ref="L69" r:id="rId66" xr:uid="{00000000-0004-0000-0100-000041000000}"/>
    <hyperlink ref="L70" r:id="rId67" xr:uid="{00000000-0004-0000-0100-000042000000}"/>
    <hyperlink ref="L71" r:id="rId68" xr:uid="{00000000-0004-0000-0100-000043000000}"/>
    <hyperlink ref="L72" r:id="rId69" xr:uid="{00000000-0004-0000-0100-000044000000}"/>
    <hyperlink ref="L73" r:id="rId70" xr:uid="{00000000-0004-0000-0100-000045000000}"/>
    <hyperlink ref="L74" r:id="rId71" xr:uid="{00000000-0004-0000-0100-000046000000}"/>
    <hyperlink ref="L75" r:id="rId72" xr:uid="{00000000-0004-0000-0100-000047000000}"/>
    <hyperlink ref="L76" r:id="rId73" xr:uid="{00000000-0004-0000-0100-000048000000}"/>
    <hyperlink ref="L77" r:id="rId74" xr:uid="{00000000-0004-0000-0100-000049000000}"/>
    <hyperlink ref="L78" r:id="rId75" xr:uid="{00000000-0004-0000-0100-00004A000000}"/>
    <hyperlink ref="L79" r:id="rId76" xr:uid="{00000000-0004-0000-0100-00004B000000}"/>
    <hyperlink ref="L80" r:id="rId77" xr:uid="{00000000-0004-0000-0100-00004C000000}"/>
    <hyperlink ref="L81" r:id="rId78" xr:uid="{00000000-0004-0000-0100-00004D000000}"/>
    <hyperlink ref="L82" r:id="rId79" xr:uid="{00000000-0004-0000-0100-00004E000000}"/>
    <hyperlink ref="L83" r:id="rId80" xr:uid="{00000000-0004-0000-0100-00004F000000}"/>
    <hyperlink ref="L84" r:id="rId81" xr:uid="{00000000-0004-0000-0100-000050000000}"/>
    <hyperlink ref="L85" r:id="rId82" xr:uid="{00000000-0004-0000-0100-000051000000}"/>
    <hyperlink ref="L86" r:id="rId83" xr:uid="{00000000-0004-0000-0100-000052000000}"/>
    <hyperlink ref="L87" r:id="rId84" xr:uid="{00000000-0004-0000-0100-000053000000}"/>
    <hyperlink ref="L88" r:id="rId85" xr:uid="{00000000-0004-0000-0100-000054000000}"/>
    <hyperlink ref="L89" r:id="rId86" xr:uid="{00000000-0004-0000-0100-000055000000}"/>
    <hyperlink ref="L90" r:id="rId87" xr:uid="{00000000-0004-0000-0100-000056000000}"/>
    <hyperlink ref="L91" r:id="rId88" xr:uid="{00000000-0004-0000-0100-000057000000}"/>
    <hyperlink ref="L92" r:id="rId89" xr:uid="{00000000-0004-0000-0100-000058000000}"/>
    <hyperlink ref="L93" r:id="rId90" xr:uid="{00000000-0004-0000-0100-000059000000}"/>
    <hyperlink ref="L94" r:id="rId91" xr:uid="{00000000-0004-0000-0100-00005A000000}"/>
    <hyperlink ref="L95" r:id="rId92" xr:uid="{00000000-0004-0000-0100-00005B000000}"/>
    <hyperlink ref="L96" r:id="rId93" xr:uid="{00000000-0004-0000-0100-00005C000000}"/>
    <hyperlink ref="L97" r:id="rId94" xr:uid="{00000000-0004-0000-0100-00005D000000}"/>
    <hyperlink ref="L98" r:id="rId95" xr:uid="{00000000-0004-0000-0100-00005E000000}"/>
    <hyperlink ref="L99" r:id="rId96" xr:uid="{00000000-0004-0000-0100-00005F000000}"/>
    <hyperlink ref="L100" r:id="rId97" xr:uid="{00000000-0004-0000-0100-000060000000}"/>
    <hyperlink ref="L101" r:id="rId98" xr:uid="{00000000-0004-0000-0100-000061000000}"/>
    <hyperlink ref="L102" r:id="rId99" xr:uid="{00000000-0004-0000-0100-000062000000}"/>
    <hyperlink ref="L103" r:id="rId100" xr:uid="{00000000-0004-0000-0100-000063000000}"/>
    <hyperlink ref="L104" r:id="rId101" xr:uid="{00000000-0004-0000-0100-000064000000}"/>
    <hyperlink ref="L105" r:id="rId102" xr:uid="{00000000-0004-0000-0100-000065000000}"/>
    <hyperlink ref="L106" r:id="rId103" xr:uid="{00000000-0004-0000-0100-000066000000}"/>
    <hyperlink ref="L107" r:id="rId104" xr:uid="{00000000-0004-0000-0100-000067000000}"/>
    <hyperlink ref="L108" r:id="rId105" xr:uid="{00000000-0004-0000-0100-000068000000}"/>
    <hyperlink ref="L109" r:id="rId106" xr:uid="{00000000-0004-0000-0100-000069000000}"/>
    <hyperlink ref="L110" r:id="rId107" xr:uid="{00000000-0004-0000-0100-00006A000000}"/>
    <hyperlink ref="L111" r:id="rId108" xr:uid="{00000000-0004-0000-0100-00006B000000}"/>
    <hyperlink ref="L112" r:id="rId109" xr:uid="{00000000-0004-0000-0100-00006C000000}"/>
    <hyperlink ref="L113" r:id="rId110" xr:uid="{00000000-0004-0000-0100-00006D000000}"/>
    <hyperlink ref="L114" r:id="rId111" xr:uid="{00000000-0004-0000-0100-00006E000000}"/>
    <hyperlink ref="L115" r:id="rId112" xr:uid="{00000000-0004-0000-0100-00006F000000}"/>
    <hyperlink ref="L116" r:id="rId113" xr:uid="{00000000-0004-0000-0100-000070000000}"/>
    <hyperlink ref="L117" r:id="rId114" xr:uid="{00000000-0004-0000-0100-000071000000}"/>
    <hyperlink ref="L118" r:id="rId115" xr:uid="{00000000-0004-0000-0100-000072000000}"/>
    <hyperlink ref="L119" r:id="rId116" xr:uid="{00000000-0004-0000-0100-000073000000}"/>
    <hyperlink ref="L120" r:id="rId117" xr:uid="{00000000-0004-0000-0100-000074000000}"/>
    <hyperlink ref="L121" r:id="rId118" xr:uid="{00000000-0004-0000-0100-000075000000}"/>
    <hyperlink ref="L122" r:id="rId119" xr:uid="{00000000-0004-0000-0100-000076000000}"/>
    <hyperlink ref="L123" r:id="rId120" xr:uid="{00000000-0004-0000-0100-000077000000}"/>
    <hyperlink ref="L124" r:id="rId121" xr:uid="{00000000-0004-0000-0100-000078000000}"/>
    <hyperlink ref="L125" r:id="rId122" xr:uid="{00000000-0004-0000-0100-000079000000}"/>
    <hyperlink ref="L126" r:id="rId123" xr:uid="{00000000-0004-0000-0100-00007A000000}"/>
    <hyperlink ref="L127" r:id="rId124" xr:uid="{00000000-0004-0000-0100-00007B000000}"/>
    <hyperlink ref="L128" r:id="rId125" xr:uid="{00000000-0004-0000-0100-00007C000000}"/>
    <hyperlink ref="L129" r:id="rId126" xr:uid="{00000000-0004-0000-0100-00007D000000}"/>
    <hyperlink ref="L130" r:id="rId127" xr:uid="{00000000-0004-0000-0100-00007E000000}"/>
    <hyperlink ref="L131" r:id="rId128" xr:uid="{00000000-0004-0000-0100-00007F000000}"/>
    <hyperlink ref="L132" r:id="rId129" xr:uid="{00000000-0004-0000-0100-000080000000}"/>
    <hyperlink ref="L133" r:id="rId130" xr:uid="{00000000-0004-0000-0100-000081000000}"/>
    <hyperlink ref="L134" r:id="rId131" xr:uid="{00000000-0004-0000-0100-000082000000}"/>
    <hyperlink ref="L135" r:id="rId132" xr:uid="{00000000-0004-0000-0100-000083000000}"/>
    <hyperlink ref="L136" r:id="rId133" xr:uid="{00000000-0004-0000-0100-000084000000}"/>
    <hyperlink ref="L137" r:id="rId134" xr:uid="{00000000-0004-0000-0100-000085000000}"/>
    <hyperlink ref="L138" r:id="rId135" xr:uid="{00000000-0004-0000-0100-000086000000}"/>
    <hyperlink ref="L139" r:id="rId136" xr:uid="{00000000-0004-0000-0100-000087000000}"/>
    <hyperlink ref="L140" r:id="rId137" xr:uid="{00000000-0004-0000-0100-000088000000}"/>
    <hyperlink ref="L141" r:id="rId138" xr:uid="{00000000-0004-0000-0100-000089000000}"/>
    <hyperlink ref="L142" r:id="rId139" xr:uid="{00000000-0004-0000-0100-00008A000000}"/>
    <hyperlink ref="L143" r:id="rId140" xr:uid="{00000000-0004-0000-0100-00008B000000}"/>
    <hyperlink ref="L144" r:id="rId141" xr:uid="{00000000-0004-0000-0100-00008C000000}"/>
    <hyperlink ref="L145" r:id="rId142" xr:uid="{00000000-0004-0000-0100-00008D000000}"/>
    <hyperlink ref="L146" r:id="rId143" xr:uid="{00000000-0004-0000-0100-00008E000000}"/>
    <hyperlink ref="L147" r:id="rId144" xr:uid="{00000000-0004-0000-0100-00008F000000}"/>
    <hyperlink ref="L148" r:id="rId145" xr:uid="{00000000-0004-0000-0100-000090000000}"/>
    <hyperlink ref="L149" r:id="rId146" xr:uid="{00000000-0004-0000-0100-000091000000}"/>
    <hyperlink ref="L150" r:id="rId147" xr:uid="{00000000-0004-0000-0100-000092000000}"/>
    <hyperlink ref="L151" r:id="rId148" xr:uid="{00000000-0004-0000-0100-000093000000}"/>
    <hyperlink ref="L152" r:id="rId149" xr:uid="{00000000-0004-0000-0100-000094000000}"/>
    <hyperlink ref="L153" r:id="rId150" xr:uid="{00000000-0004-0000-0100-000095000000}"/>
    <hyperlink ref="L154" r:id="rId151" xr:uid="{00000000-0004-0000-0100-000096000000}"/>
    <hyperlink ref="L155" r:id="rId152" xr:uid="{00000000-0004-0000-0100-000097000000}"/>
    <hyperlink ref="L156" r:id="rId153" xr:uid="{00000000-0004-0000-0100-000098000000}"/>
    <hyperlink ref="L157" r:id="rId154" xr:uid="{00000000-0004-0000-0100-000099000000}"/>
    <hyperlink ref="L158" r:id="rId155" xr:uid="{00000000-0004-0000-0100-00009A000000}"/>
    <hyperlink ref="L159" r:id="rId156" xr:uid="{00000000-0004-0000-0100-00009B000000}"/>
  </hyperlinks>
  <pageMargins left="0.75" right="0.75" top="1" bottom="1" header="0.5" footer="0.5"/>
  <legacyDrawing r:id="rId15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pane ySplit="4" topLeftCell="A5" activePane="bottomLeft" state="frozen"/>
      <selection pane="bottomLeft"/>
    </sheetView>
  </sheetViews>
  <sheetFormatPr defaultRowHeight="17.399999999999999" x14ac:dyDescent="0.4"/>
  <cols>
    <col min="1" max="1" width="10" customWidth="1"/>
    <col min="2" max="2" width="11" customWidth="1"/>
    <col min="3" max="3" width="10" customWidth="1"/>
    <col min="4" max="4" width="13" customWidth="1"/>
    <col min="5" max="6" width="9" customWidth="1"/>
    <col min="7" max="7" width="40" customWidth="1"/>
  </cols>
  <sheetData>
    <row r="1" spans="1:7" ht="21" x14ac:dyDescent="0.45">
      <c r="A1" s="1" t="s">
        <v>242</v>
      </c>
    </row>
    <row r="2" spans="1:7" x14ac:dyDescent="0.4">
      <c r="A2" s="2" t="s">
        <v>243</v>
      </c>
    </row>
    <row r="4" spans="1:7" ht="30" customHeight="1" x14ac:dyDescent="0.4">
      <c r="A4" s="6" t="s">
        <v>3</v>
      </c>
      <c r="B4" s="6" t="s">
        <v>4</v>
      </c>
      <c r="C4" s="6" t="s">
        <v>244</v>
      </c>
      <c r="D4" s="6" t="s">
        <v>245</v>
      </c>
      <c r="E4" s="6" t="s">
        <v>246</v>
      </c>
      <c r="F4" s="6" t="s">
        <v>247</v>
      </c>
      <c r="G4" s="6" t="s">
        <v>248</v>
      </c>
    </row>
    <row r="5" spans="1:7" x14ac:dyDescent="0.4">
      <c r="A5" s="8" t="s">
        <v>22</v>
      </c>
      <c r="B5" s="8" t="s">
        <v>23</v>
      </c>
      <c r="C5" s="8">
        <f>COUNTIFS(검토표!$B$4:$B$159,A5)</f>
        <v>5</v>
      </c>
      <c r="D5" s="8">
        <f>COUNTIFS(검토표!$B$4:$B$159,A5,검토표!$Q$4:$Q$159,"&lt;&gt;")</f>
        <v>0</v>
      </c>
      <c r="E5" s="8">
        <f>COUNTIFS(검토표!$B$4:$B$159,A5,검토표!$P$4:$P$159,"Y")</f>
        <v>0</v>
      </c>
      <c r="F5" s="20">
        <f t="shared" ref="F5:F27" si="0">IF(C5=0,"-",D5/C5)</f>
        <v>0</v>
      </c>
      <c r="G5" s="9"/>
    </row>
    <row r="6" spans="1:7" x14ac:dyDescent="0.4">
      <c r="A6" s="8" t="s">
        <v>39</v>
      </c>
      <c r="B6" s="8" t="s">
        <v>40</v>
      </c>
      <c r="C6" s="8">
        <f>COUNTIFS(검토표!$B$4:$B$159,A6)</f>
        <v>20</v>
      </c>
      <c r="D6" s="8">
        <f>COUNTIFS(검토표!$B$4:$B$159,A6,검토표!$Q$4:$Q$159,"&lt;&gt;")</f>
        <v>0</v>
      </c>
      <c r="E6" s="8">
        <f>COUNTIFS(검토표!$B$4:$B$159,A6,검토표!$P$4:$P$159,"Y")</f>
        <v>0</v>
      </c>
      <c r="F6" s="20">
        <f t="shared" si="0"/>
        <v>0</v>
      </c>
      <c r="G6" s="9"/>
    </row>
    <row r="7" spans="1:7" x14ac:dyDescent="0.4">
      <c r="A7" s="8" t="s">
        <v>64</v>
      </c>
      <c r="B7" s="8" t="s">
        <v>65</v>
      </c>
      <c r="C7" s="8">
        <f>COUNTIFS(검토표!$B$4:$B$159,A7)</f>
        <v>4</v>
      </c>
      <c r="D7" s="8">
        <f>COUNTIFS(검토표!$B$4:$B$159,A7,검토표!$Q$4:$Q$159,"&lt;&gt;")</f>
        <v>0</v>
      </c>
      <c r="E7" s="8">
        <f>COUNTIFS(검토표!$B$4:$B$159,A7,검토표!$P$4:$P$159,"Y")</f>
        <v>0</v>
      </c>
      <c r="F7" s="20">
        <f t="shared" si="0"/>
        <v>0</v>
      </c>
      <c r="G7" s="9"/>
    </row>
    <row r="8" spans="1:7" ht="31.2" x14ac:dyDescent="0.4">
      <c r="A8" s="14" t="s">
        <v>249</v>
      </c>
      <c r="B8" s="14" t="s">
        <v>250</v>
      </c>
      <c r="C8" s="14">
        <f>COUNTIFS(검토표!$B$4:$B$159,A8)</f>
        <v>0</v>
      </c>
      <c r="D8" s="14">
        <f>COUNTIFS(검토표!$B$4:$B$159,A8,검토표!$Q$4:$Q$159,"&lt;&gt;")</f>
        <v>0</v>
      </c>
      <c r="E8" s="14">
        <f>COUNTIFS(검토표!$B$4:$B$159,A8,검토표!$P$4:$P$159,"Y")</f>
        <v>0</v>
      </c>
      <c r="F8" s="21" t="str">
        <f t="shared" si="0"/>
        <v>-</v>
      </c>
      <c r="G8" s="15" t="s">
        <v>251</v>
      </c>
    </row>
    <row r="9" spans="1:7" x14ac:dyDescent="0.4">
      <c r="A9" s="8" t="s">
        <v>70</v>
      </c>
      <c r="B9" s="8" t="s">
        <v>71</v>
      </c>
      <c r="C9" s="8">
        <f>COUNTIFS(검토표!$B$4:$B$159,A9)</f>
        <v>16</v>
      </c>
      <c r="D9" s="8">
        <f>COUNTIFS(검토표!$B$4:$B$159,A9,검토표!$Q$4:$Q$159,"&lt;&gt;")</f>
        <v>0</v>
      </c>
      <c r="E9" s="8">
        <f>COUNTIFS(검토표!$B$4:$B$159,A9,검토표!$P$4:$P$159,"Y")</f>
        <v>0</v>
      </c>
      <c r="F9" s="20">
        <f t="shared" si="0"/>
        <v>0</v>
      </c>
      <c r="G9" s="9"/>
    </row>
    <row r="10" spans="1:7" x14ac:dyDescent="0.4">
      <c r="A10" s="8" t="s">
        <v>82</v>
      </c>
      <c r="B10" s="8" t="s">
        <v>83</v>
      </c>
      <c r="C10" s="8">
        <f>COUNTIFS(검토표!$B$4:$B$159,A10)</f>
        <v>3</v>
      </c>
      <c r="D10" s="8">
        <f>COUNTIFS(검토표!$B$4:$B$159,A10,검토표!$Q$4:$Q$159,"&lt;&gt;")</f>
        <v>0</v>
      </c>
      <c r="E10" s="8">
        <f>COUNTIFS(검토표!$B$4:$B$159,A10,검토표!$P$4:$P$159,"Y")</f>
        <v>0</v>
      </c>
      <c r="F10" s="20">
        <f t="shared" si="0"/>
        <v>0</v>
      </c>
      <c r="G10" s="9"/>
    </row>
    <row r="11" spans="1:7" x14ac:dyDescent="0.4">
      <c r="A11" s="8" t="s">
        <v>86</v>
      </c>
      <c r="B11" s="8" t="s">
        <v>87</v>
      </c>
      <c r="C11" s="8">
        <f>COUNTIFS(검토표!$B$4:$B$159,A11)</f>
        <v>4</v>
      </c>
      <c r="D11" s="8">
        <f>COUNTIFS(검토표!$B$4:$B$159,A11,검토표!$Q$4:$Q$159,"&lt;&gt;")</f>
        <v>0</v>
      </c>
      <c r="E11" s="8">
        <f>COUNTIFS(검토표!$B$4:$B$159,A11,검토표!$P$4:$P$159,"Y")</f>
        <v>0</v>
      </c>
      <c r="F11" s="20">
        <f t="shared" si="0"/>
        <v>0</v>
      </c>
      <c r="G11" s="9"/>
    </row>
    <row r="12" spans="1:7" x14ac:dyDescent="0.4">
      <c r="A12" s="8" t="s">
        <v>94</v>
      </c>
      <c r="B12" s="8" t="s">
        <v>95</v>
      </c>
      <c r="C12" s="8">
        <f>COUNTIFS(검토표!$B$4:$B$159,A12)</f>
        <v>10</v>
      </c>
      <c r="D12" s="8">
        <f>COUNTIFS(검토표!$B$4:$B$159,A12,검토표!$Q$4:$Q$159,"&lt;&gt;")</f>
        <v>0</v>
      </c>
      <c r="E12" s="8">
        <f>COUNTIFS(검토표!$B$4:$B$159,A12,검토표!$P$4:$P$159,"Y")</f>
        <v>0</v>
      </c>
      <c r="F12" s="20">
        <f t="shared" si="0"/>
        <v>0</v>
      </c>
      <c r="G12" s="9"/>
    </row>
    <row r="13" spans="1:7" x14ac:dyDescent="0.4">
      <c r="A13" s="14" t="s">
        <v>252</v>
      </c>
      <c r="B13" s="14" t="s">
        <v>253</v>
      </c>
      <c r="C13" s="14">
        <f>COUNTIFS(검토표!$B$4:$B$159,A13)</f>
        <v>0</v>
      </c>
      <c r="D13" s="14">
        <f>COUNTIFS(검토표!$B$4:$B$159,A13,검토표!$Q$4:$Q$159,"&lt;&gt;")</f>
        <v>0</v>
      </c>
      <c r="E13" s="14">
        <f>COUNTIFS(검토표!$B$4:$B$159,A13,검토표!$P$4:$P$159,"Y")</f>
        <v>0</v>
      </c>
      <c r="F13" s="21" t="str">
        <f t="shared" si="0"/>
        <v>-</v>
      </c>
      <c r="G13" s="15" t="s">
        <v>254</v>
      </c>
    </row>
    <row r="14" spans="1:7" x14ac:dyDescent="0.4">
      <c r="A14" s="8" t="s">
        <v>106</v>
      </c>
      <c r="B14" s="8" t="s">
        <v>107</v>
      </c>
      <c r="C14" s="8">
        <f>COUNTIFS(검토표!$B$4:$B$159,A14)</f>
        <v>12</v>
      </c>
      <c r="D14" s="8">
        <f>COUNTIFS(검토표!$B$4:$B$159,A14,검토표!$Q$4:$Q$159,"&lt;&gt;")</f>
        <v>0</v>
      </c>
      <c r="E14" s="8">
        <f>COUNTIFS(검토표!$B$4:$B$159,A14,검토표!$P$4:$P$159,"Y")</f>
        <v>0</v>
      </c>
      <c r="F14" s="20">
        <f t="shared" si="0"/>
        <v>0</v>
      </c>
      <c r="G14" s="9"/>
    </row>
    <row r="15" spans="1:7" x14ac:dyDescent="0.4">
      <c r="A15" s="8" t="s">
        <v>120</v>
      </c>
      <c r="B15" s="8" t="s">
        <v>121</v>
      </c>
      <c r="C15" s="8">
        <f>COUNTIFS(검토표!$B$4:$B$159,A15)</f>
        <v>12</v>
      </c>
      <c r="D15" s="8">
        <f>COUNTIFS(검토표!$B$4:$B$159,A15,검토표!$Q$4:$Q$159,"&lt;&gt;")</f>
        <v>0</v>
      </c>
      <c r="E15" s="8">
        <f>COUNTIFS(검토표!$B$4:$B$159,A15,검토표!$P$4:$P$159,"Y")</f>
        <v>0</v>
      </c>
      <c r="F15" s="20">
        <f t="shared" si="0"/>
        <v>0</v>
      </c>
      <c r="G15" s="9"/>
    </row>
    <row r="16" spans="1:7" x14ac:dyDescent="0.4">
      <c r="A16" s="14" t="s">
        <v>255</v>
      </c>
      <c r="B16" s="14" t="s">
        <v>256</v>
      </c>
      <c r="C16" s="14">
        <f>COUNTIFS(검토표!$B$4:$B$159,A16)</f>
        <v>0</v>
      </c>
      <c r="D16" s="14">
        <f>COUNTIFS(검토표!$B$4:$B$159,A16,검토표!$Q$4:$Q$159,"&lt;&gt;")</f>
        <v>0</v>
      </c>
      <c r="E16" s="14">
        <f>COUNTIFS(검토표!$B$4:$B$159,A16,검토표!$P$4:$P$159,"Y")</f>
        <v>0</v>
      </c>
      <c r="F16" s="21" t="str">
        <f t="shared" si="0"/>
        <v>-</v>
      </c>
      <c r="G16" s="15" t="s">
        <v>254</v>
      </c>
    </row>
    <row r="17" spans="1:7" x14ac:dyDescent="0.4">
      <c r="A17" s="14" t="s">
        <v>257</v>
      </c>
      <c r="B17" s="14" t="s">
        <v>258</v>
      </c>
      <c r="C17" s="14">
        <f>COUNTIFS(검토표!$B$4:$B$159,A17)</f>
        <v>0</v>
      </c>
      <c r="D17" s="14">
        <f>COUNTIFS(검토표!$B$4:$B$159,A17,검토표!$Q$4:$Q$159,"&lt;&gt;")</f>
        <v>0</v>
      </c>
      <c r="E17" s="14">
        <f>COUNTIFS(검토표!$B$4:$B$159,A17,검토표!$P$4:$P$159,"Y")</f>
        <v>0</v>
      </c>
      <c r="F17" s="21" t="str">
        <f t="shared" si="0"/>
        <v>-</v>
      </c>
      <c r="G17" s="15" t="s">
        <v>254</v>
      </c>
    </row>
    <row r="18" spans="1:7" x14ac:dyDescent="0.4">
      <c r="A18" s="8" t="s">
        <v>132</v>
      </c>
      <c r="B18" s="8" t="s">
        <v>133</v>
      </c>
      <c r="C18" s="8">
        <f>COUNTIFS(검토표!$B$4:$B$159,A18)</f>
        <v>12</v>
      </c>
      <c r="D18" s="8">
        <f>COUNTIFS(검토표!$B$4:$B$159,A18,검토표!$Q$4:$Q$159,"&lt;&gt;")</f>
        <v>0</v>
      </c>
      <c r="E18" s="8">
        <f>COUNTIFS(검토표!$B$4:$B$159,A18,검토표!$P$4:$P$159,"Y")</f>
        <v>0</v>
      </c>
      <c r="F18" s="20">
        <f t="shared" si="0"/>
        <v>0</v>
      </c>
      <c r="G18" s="9"/>
    </row>
    <row r="19" spans="1:7" x14ac:dyDescent="0.4">
      <c r="A19" s="8" t="s">
        <v>146</v>
      </c>
      <c r="B19" s="8" t="s">
        <v>147</v>
      </c>
      <c r="C19" s="8">
        <f>COUNTIFS(검토표!$B$4:$B$159,A19)</f>
        <v>2</v>
      </c>
      <c r="D19" s="8">
        <f>COUNTIFS(검토표!$B$4:$B$159,A19,검토표!$Q$4:$Q$159,"&lt;&gt;")</f>
        <v>0</v>
      </c>
      <c r="E19" s="8">
        <f>COUNTIFS(검토표!$B$4:$B$159,A19,검토표!$P$4:$P$159,"Y")</f>
        <v>0</v>
      </c>
      <c r="F19" s="20">
        <f t="shared" si="0"/>
        <v>0</v>
      </c>
      <c r="G19" s="9"/>
    </row>
    <row r="20" spans="1:7" x14ac:dyDescent="0.4">
      <c r="A20" s="8" t="s">
        <v>152</v>
      </c>
      <c r="B20" s="8" t="s">
        <v>153</v>
      </c>
      <c r="C20" s="8">
        <f>COUNTIFS(검토표!$B$4:$B$159,A20)</f>
        <v>12</v>
      </c>
      <c r="D20" s="8">
        <f>COUNTIFS(검토표!$B$4:$B$159,A20,검토표!$Q$4:$Q$159,"&lt;&gt;")</f>
        <v>0</v>
      </c>
      <c r="E20" s="8">
        <f>COUNTIFS(검토표!$B$4:$B$159,A20,검토표!$P$4:$P$159,"Y")</f>
        <v>0</v>
      </c>
      <c r="F20" s="20">
        <f t="shared" si="0"/>
        <v>0</v>
      </c>
      <c r="G20" s="9"/>
    </row>
    <row r="21" spans="1:7" x14ac:dyDescent="0.4">
      <c r="A21" s="8" t="s">
        <v>165</v>
      </c>
      <c r="B21" s="8" t="s">
        <v>166</v>
      </c>
      <c r="C21" s="8">
        <f>COUNTIFS(검토표!$B$4:$B$159,A21)</f>
        <v>6</v>
      </c>
      <c r="D21" s="8">
        <f>COUNTIFS(검토표!$B$4:$B$159,A21,검토표!$Q$4:$Q$159,"&lt;&gt;")</f>
        <v>0</v>
      </c>
      <c r="E21" s="8">
        <f>COUNTIFS(검토표!$B$4:$B$159,A21,검토표!$P$4:$P$159,"Y")</f>
        <v>0</v>
      </c>
      <c r="F21" s="20">
        <f t="shared" si="0"/>
        <v>0</v>
      </c>
      <c r="G21" s="9"/>
    </row>
    <row r="22" spans="1:7" x14ac:dyDescent="0.4">
      <c r="A22" s="14" t="s">
        <v>259</v>
      </c>
      <c r="B22" s="14" t="s">
        <v>260</v>
      </c>
      <c r="C22" s="14">
        <f>COUNTIFS(검토표!$B$4:$B$159,A22)</f>
        <v>0</v>
      </c>
      <c r="D22" s="14">
        <f>COUNTIFS(검토표!$B$4:$B$159,A22,검토표!$Q$4:$Q$159,"&lt;&gt;")</f>
        <v>0</v>
      </c>
      <c r="E22" s="14">
        <f>COUNTIFS(검토표!$B$4:$B$159,A22,검토표!$P$4:$P$159,"Y")</f>
        <v>0</v>
      </c>
      <c r="F22" s="21" t="str">
        <f t="shared" si="0"/>
        <v>-</v>
      </c>
      <c r="G22" s="15" t="s">
        <v>254</v>
      </c>
    </row>
    <row r="23" spans="1:7" x14ac:dyDescent="0.4">
      <c r="A23" s="8" t="s">
        <v>171</v>
      </c>
      <c r="B23" s="8" t="s">
        <v>172</v>
      </c>
      <c r="C23" s="8">
        <f>COUNTIFS(검토표!$B$4:$B$159,A23)</f>
        <v>8</v>
      </c>
      <c r="D23" s="8">
        <f>COUNTIFS(검토표!$B$4:$B$159,A23,검토표!$Q$4:$Q$159,"&lt;&gt;")</f>
        <v>0</v>
      </c>
      <c r="E23" s="8">
        <f>COUNTIFS(검토표!$B$4:$B$159,A23,검토표!$P$4:$P$159,"Y")</f>
        <v>0</v>
      </c>
      <c r="F23" s="20">
        <f t="shared" si="0"/>
        <v>0</v>
      </c>
      <c r="G23" s="9"/>
    </row>
    <row r="24" spans="1:7" x14ac:dyDescent="0.4">
      <c r="A24" s="8" t="s">
        <v>179</v>
      </c>
      <c r="B24" s="8" t="s">
        <v>180</v>
      </c>
      <c r="C24" s="8">
        <f>COUNTIFS(검토표!$B$4:$B$159,A24)</f>
        <v>9</v>
      </c>
      <c r="D24" s="8">
        <f>COUNTIFS(검토표!$B$4:$B$159,A24,검토표!$Q$4:$Q$159,"&lt;&gt;")</f>
        <v>0</v>
      </c>
      <c r="E24" s="8">
        <f>COUNTIFS(검토표!$B$4:$B$159,A24,검토표!$P$4:$P$159,"Y")</f>
        <v>0</v>
      </c>
      <c r="F24" s="20">
        <f t="shared" si="0"/>
        <v>0</v>
      </c>
      <c r="G24" s="9"/>
    </row>
    <row r="25" spans="1:7" x14ac:dyDescent="0.4">
      <c r="A25" s="8" t="s">
        <v>190</v>
      </c>
      <c r="B25" s="8" t="s">
        <v>191</v>
      </c>
      <c r="C25" s="8">
        <f>COUNTIFS(검토표!$B$4:$B$159,A25)</f>
        <v>14</v>
      </c>
      <c r="D25" s="8">
        <f>COUNTIFS(검토표!$B$4:$B$159,A25,검토표!$Q$4:$Q$159,"&lt;&gt;")</f>
        <v>0</v>
      </c>
      <c r="E25" s="8">
        <f>COUNTIFS(검토표!$B$4:$B$159,A25,검토표!$P$4:$P$159,"Y")</f>
        <v>0</v>
      </c>
      <c r="F25" s="20">
        <f t="shared" si="0"/>
        <v>0</v>
      </c>
      <c r="G25" s="9"/>
    </row>
    <row r="26" spans="1:7" x14ac:dyDescent="0.4">
      <c r="A26" s="8" t="s">
        <v>202</v>
      </c>
      <c r="B26" s="8" t="s">
        <v>203</v>
      </c>
      <c r="C26" s="8">
        <f>COUNTIFS(검토표!$B$4:$B$159,A26)</f>
        <v>7</v>
      </c>
      <c r="D26" s="8">
        <f>COUNTIFS(검토표!$B$4:$B$159,A26,검토표!$Q$4:$Q$159,"&lt;&gt;")</f>
        <v>0</v>
      </c>
      <c r="E26" s="8">
        <f>COUNTIFS(검토표!$B$4:$B$159,A26,검토표!$P$4:$P$159,"Y")</f>
        <v>0</v>
      </c>
      <c r="F26" s="20">
        <f t="shared" si="0"/>
        <v>0</v>
      </c>
      <c r="G26" s="9"/>
    </row>
    <row r="27" spans="1:7" x14ac:dyDescent="0.4">
      <c r="A27" s="22" t="s">
        <v>261</v>
      </c>
      <c r="B27" s="23"/>
      <c r="C27" s="24">
        <f>SUM(C5:C26)</f>
        <v>156</v>
      </c>
      <c r="D27" s="24">
        <f>SUM(D5:D26)</f>
        <v>0</v>
      </c>
      <c r="E27" s="24">
        <f>SUM(E5:E26)</f>
        <v>0</v>
      </c>
      <c r="F27" s="25">
        <f t="shared" si="0"/>
        <v>0</v>
      </c>
      <c r="G27" s="23"/>
    </row>
  </sheetData>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7.399999999999999" x14ac:dyDescent="0.4"/>
  <cols>
    <col min="1" max="1" width="10" customWidth="1"/>
    <col min="2" max="2" width="11" customWidth="1"/>
    <col min="3" max="3" width="34" customWidth="1"/>
    <col min="4" max="4" width="80" customWidth="1"/>
    <col min="5" max="5" width="10" customWidth="1"/>
  </cols>
  <sheetData>
    <row r="1" spans="1:5" ht="21" x14ac:dyDescent="0.45">
      <c r="A1" s="1" t="s">
        <v>262</v>
      </c>
    </row>
    <row r="2" spans="1:5" ht="30" customHeight="1" x14ac:dyDescent="0.4">
      <c r="A2" s="27" t="s">
        <v>263</v>
      </c>
      <c r="B2" s="28"/>
      <c r="C2" s="28"/>
      <c r="D2" s="28"/>
      <c r="E2" s="28"/>
    </row>
    <row r="4" spans="1:5" x14ac:dyDescent="0.4">
      <c r="A4" s="6" t="s">
        <v>3</v>
      </c>
      <c r="B4" s="6" t="s">
        <v>4</v>
      </c>
      <c r="C4" s="6" t="s">
        <v>264</v>
      </c>
      <c r="D4" s="6" t="s">
        <v>265</v>
      </c>
      <c r="E4" s="6" t="s">
        <v>13</v>
      </c>
    </row>
    <row r="5" spans="1:5" ht="120" customHeight="1" x14ac:dyDescent="0.4">
      <c r="A5" s="8" t="s">
        <v>249</v>
      </c>
      <c r="B5" s="8" t="s">
        <v>250</v>
      </c>
      <c r="C5" s="9" t="s">
        <v>251</v>
      </c>
      <c r="D5" s="9" t="s">
        <v>266</v>
      </c>
      <c r="E5" s="26" t="s">
        <v>29</v>
      </c>
    </row>
    <row r="6" spans="1:5" ht="30" customHeight="1" x14ac:dyDescent="0.4">
      <c r="A6" s="8" t="s">
        <v>252</v>
      </c>
      <c r="B6" s="8" t="s">
        <v>253</v>
      </c>
      <c r="C6" s="9" t="s">
        <v>254</v>
      </c>
      <c r="D6" s="9" t="s">
        <v>267</v>
      </c>
      <c r="E6" s="8" t="s">
        <v>268</v>
      </c>
    </row>
    <row r="7" spans="1:5" ht="30" customHeight="1" x14ac:dyDescent="0.4">
      <c r="A7" s="8" t="s">
        <v>255</v>
      </c>
      <c r="B7" s="8" t="s">
        <v>256</v>
      </c>
      <c r="C7" s="9" t="s">
        <v>254</v>
      </c>
      <c r="D7" s="9" t="s">
        <v>267</v>
      </c>
      <c r="E7" s="8" t="s">
        <v>268</v>
      </c>
    </row>
    <row r="8" spans="1:5" ht="30" customHeight="1" x14ac:dyDescent="0.4">
      <c r="A8" s="8" t="s">
        <v>257</v>
      </c>
      <c r="B8" s="8" t="s">
        <v>258</v>
      </c>
      <c r="C8" s="9" t="s">
        <v>254</v>
      </c>
      <c r="D8" s="9" t="s">
        <v>267</v>
      </c>
      <c r="E8" s="8" t="s">
        <v>268</v>
      </c>
    </row>
    <row r="9" spans="1:5" ht="30" customHeight="1" x14ac:dyDescent="0.4">
      <c r="A9" s="8" t="s">
        <v>259</v>
      </c>
      <c r="B9" s="8" t="s">
        <v>260</v>
      </c>
      <c r="C9" s="9" t="s">
        <v>254</v>
      </c>
      <c r="D9" s="9" t="s">
        <v>267</v>
      </c>
      <c r="E9" s="8" t="s">
        <v>268</v>
      </c>
    </row>
  </sheetData>
  <mergeCells count="1">
    <mergeCell ref="A2:E2"/>
  </mergeCells>
  <phoneticPr fontId="8" type="noConversion"/>
  <hyperlinks>
    <hyperlink ref="E5" r:id="rId1" xr:uid="{00000000-0004-0000-03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검토표</vt:lpstr>
      <vt:lpstr>시군별 현황</vt:lpstr>
      <vt:lpstr>직접 확인 필요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장훈 서</cp:lastModifiedBy>
  <dcterms:created xsi:type="dcterms:W3CDTF">2026-09-18T00:52:23Z</dcterms:created>
  <dcterms:modified xsi:type="dcterms:W3CDTF">2026-09-18T00:52:57Z</dcterms:modified>
</cp:coreProperties>
</file>